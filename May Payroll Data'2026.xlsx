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MAINDATA\Desktop\Salary Slip\"/>
    </mc:Choice>
  </mc:AlternateContent>
  <xr:revisionPtr revIDLastSave="0" documentId="13_ncr:1_{AAB874DC-EC0B-41D8-9FB9-F1A896EF7280}" xr6:coauthVersionLast="47" xr6:coauthVersionMax="47" xr10:uidLastSave="{00000000-0000-0000-0000-000000000000}"/>
  <bookViews>
    <workbookView xWindow="-120" yWindow="-120" windowWidth="29040" windowHeight="15840" firstSheet="1" activeTab="11" xr2:uid="{00000000-000D-0000-FFFF-FFFF00000000}"/>
  </bookViews>
  <sheets>
    <sheet name="HDFC" sheetId="2" state="hidden" r:id="rId1"/>
    <sheet name="Draft-Paysheet May 2026" sheetId="3" r:id="rId2"/>
    <sheet name="LOP" sheetId="5" r:id="rId3"/>
    <sheet name="Non HDFC 2" sheetId="6" state="hidden" r:id="rId4"/>
    <sheet name="New HDFC" sheetId="7" state="hidden" r:id="rId5"/>
    <sheet name="Non HDFC for Bank" sheetId="8" state="hidden" r:id="rId6"/>
    <sheet name="Leavers" sheetId="9" r:id="rId7"/>
    <sheet name="Mumbai" sheetId="10" r:id="rId8"/>
    <sheet name="Chennai" sheetId="11" r:id="rId9"/>
    <sheet name="TDS" sheetId="12" r:id="rId10"/>
    <sheet name="LKO" sheetId="13" r:id="rId11"/>
    <sheet name="Hyd" sheetId="14" r:id="rId12"/>
    <sheet name="Sheet1" sheetId="15" state="hidden" r:id="rId13"/>
  </sheets>
  <definedNames>
    <definedName name="_xlnm._FilterDatabase" localSheetId="1" hidden="1">'Draft-Paysheet May 2026'!$A$4:$AL$58</definedName>
    <definedName name="_xlnm._FilterDatabase" localSheetId="0" hidden="1">HDFC!$A$4:$AL$13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19" i="15" l="1"/>
  <c r="F10" i="15"/>
  <c r="E10" i="15"/>
  <c r="D10" i="15"/>
  <c r="O10" i="15" s="1"/>
  <c r="C10" i="15"/>
  <c r="G10" i="15" s="1"/>
  <c r="O9" i="15"/>
  <c r="K8" i="15"/>
  <c r="M8" i="15" s="1"/>
  <c r="J8" i="15"/>
  <c r="L8" i="15" s="1"/>
  <c r="N8" i="15" s="1"/>
  <c r="H8" i="15"/>
  <c r="G8" i="15"/>
  <c r="O8" i="15" s="1"/>
  <c r="AK35" i="13"/>
  <c r="AJ35" i="13"/>
  <c r="AI35" i="13"/>
  <c r="AK34" i="13"/>
  <c r="AJ34" i="13"/>
  <c r="AI34" i="13"/>
  <c r="AK33" i="13"/>
  <c r="AJ33" i="13"/>
  <c r="AI33" i="13"/>
  <c r="AK32" i="13"/>
  <c r="AJ32" i="13"/>
  <c r="AI32" i="13"/>
  <c r="AK31" i="13"/>
  <c r="AJ31" i="13"/>
  <c r="AI31" i="13"/>
  <c r="AK30" i="13"/>
  <c r="AJ30" i="13"/>
  <c r="AI30" i="13"/>
  <c r="AK29" i="13"/>
  <c r="AJ29" i="13"/>
  <c r="AI29" i="13"/>
  <c r="AK28" i="13"/>
  <c r="AJ28" i="13"/>
  <c r="AI28" i="13"/>
  <c r="AK27" i="13"/>
  <c r="AJ27" i="13"/>
  <c r="AI27" i="13"/>
  <c r="AK26" i="13"/>
  <c r="AJ26" i="13"/>
  <c r="AI26" i="13"/>
  <c r="AK25" i="13"/>
  <c r="AJ25" i="13"/>
  <c r="AI25" i="13"/>
  <c r="AK24" i="13"/>
  <c r="AJ24" i="13"/>
  <c r="AI24" i="13"/>
  <c r="AK23" i="13"/>
  <c r="AJ23" i="13"/>
  <c r="AI23" i="13"/>
  <c r="AK22" i="13"/>
  <c r="AJ22" i="13"/>
  <c r="AI22" i="13"/>
  <c r="AK21" i="13"/>
  <c r="AJ21" i="13"/>
  <c r="AI21" i="13"/>
  <c r="AK20" i="13"/>
  <c r="AJ20" i="13"/>
  <c r="AI20" i="13"/>
  <c r="AK19" i="13"/>
  <c r="AJ19" i="13"/>
  <c r="AI19" i="13"/>
  <c r="AK18" i="13"/>
  <c r="AJ18" i="13"/>
  <c r="AI18" i="13"/>
  <c r="AK17" i="13"/>
  <c r="AJ17" i="13"/>
  <c r="AI17" i="13"/>
  <c r="AK16" i="13"/>
  <c r="AJ16" i="13"/>
  <c r="AI16" i="13"/>
  <c r="AK15" i="13"/>
  <c r="AJ15" i="13"/>
  <c r="AI15" i="13"/>
  <c r="AK14" i="13"/>
  <c r="AJ14" i="13"/>
  <c r="AI14" i="13"/>
  <c r="AK13" i="13"/>
  <c r="AJ13" i="13"/>
  <c r="AI13" i="13"/>
  <c r="AK12" i="13"/>
  <c r="AJ12" i="13"/>
  <c r="AI12" i="13"/>
  <c r="AK11" i="13"/>
  <c r="AJ11" i="13"/>
  <c r="AI11" i="13"/>
  <c r="AK10" i="13"/>
  <c r="AJ10" i="13"/>
  <c r="AI10" i="13"/>
  <c r="AK9" i="13"/>
  <c r="AJ9" i="13"/>
  <c r="AI9" i="13"/>
  <c r="AK8" i="13"/>
  <c r="AJ8" i="13"/>
  <c r="AI8" i="13"/>
  <c r="AK7" i="13"/>
  <c r="AJ7" i="13"/>
  <c r="AI7" i="13"/>
  <c r="AK6" i="13"/>
  <c r="AJ6" i="13"/>
  <c r="AI6" i="13"/>
  <c r="AK5" i="13"/>
  <c r="AJ5" i="13"/>
  <c r="AI5" i="13"/>
  <c r="AK4" i="13"/>
  <c r="AJ4" i="13"/>
  <c r="AI4" i="13"/>
  <c r="H43" i="12"/>
  <c r="F42" i="12"/>
  <c r="H42" i="12" s="1"/>
  <c r="F14" i="12" s="1"/>
  <c r="F41" i="12"/>
  <c r="H41" i="12" s="1"/>
  <c r="F13" i="12" s="1"/>
  <c r="F40" i="12"/>
  <c r="H40" i="12" s="1"/>
  <c r="F12" i="12" s="1"/>
  <c r="F39" i="12"/>
  <c r="H39" i="12" s="1"/>
  <c r="F11" i="12" s="1"/>
  <c r="F38" i="12"/>
  <c r="H38" i="12" s="1"/>
  <c r="F10" i="12" s="1"/>
  <c r="F37" i="12"/>
  <c r="H37" i="12" s="1"/>
  <c r="F9" i="12" s="1"/>
  <c r="F36" i="12"/>
  <c r="H36" i="12" s="1"/>
  <c r="F8" i="12" s="1"/>
  <c r="F35" i="12"/>
  <c r="H35" i="12" s="1"/>
  <c r="F7" i="12" s="1"/>
  <c r="F34" i="12"/>
  <c r="H34" i="12" s="1"/>
  <c r="F6" i="12" s="1"/>
  <c r="F33" i="12"/>
  <c r="H33" i="12" s="1"/>
  <c r="F5" i="12" s="1"/>
  <c r="F32" i="12"/>
  <c r="H32" i="12" s="1"/>
  <c r="F4" i="12" s="1"/>
  <c r="F31" i="12"/>
  <c r="F44" i="12" s="1"/>
  <c r="F47" i="12" s="1"/>
  <c r="F48" i="12" s="1"/>
  <c r="G22" i="12"/>
  <c r="G24" i="12" s="1"/>
  <c r="G25" i="12" s="1"/>
  <c r="F22" i="12"/>
  <c r="F24" i="12" s="1"/>
  <c r="F25" i="12" s="1"/>
  <c r="E22" i="12"/>
  <c r="E24" i="12" s="1"/>
  <c r="E25" i="12" s="1"/>
  <c r="D22" i="12"/>
  <c r="D24" i="12" s="1"/>
  <c r="D25" i="12" s="1"/>
  <c r="AH5" i="3" s="1"/>
  <c r="G16" i="12"/>
  <c r="G19" i="12" s="1"/>
  <c r="E16" i="12"/>
  <c r="E19" i="12" s="1"/>
  <c r="D16" i="12"/>
  <c r="D19" i="12" s="1"/>
  <c r="AE23" i="9"/>
  <c r="Y23" i="9"/>
  <c r="AF23" i="9" s="1"/>
  <c r="AL23" i="9" s="1"/>
  <c r="Z22" i="9"/>
  <c r="AE22" i="9" s="1"/>
  <c r="AF22" i="9" s="1"/>
  <c r="AL22" i="9" s="1"/>
  <c r="Y22" i="9"/>
  <c r="AE21" i="9"/>
  <c r="AF21" i="9" s="1"/>
  <c r="AL21" i="9" s="1"/>
  <c r="Y21" i="9"/>
  <c r="AE20" i="9"/>
  <c r="AF20" i="9" s="1"/>
  <c r="AL20" i="9" s="1"/>
  <c r="Y20" i="9"/>
  <c r="AE19" i="9"/>
  <c r="AF19" i="9" s="1"/>
  <c r="AM19" i="9" s="1"/>
  <c r="Y19" i="9"/>
  <c r="AE18" i="9"/>
  <c r="AF18" i="9" s="1"/>
  <c r="AM18" i="9" s="1"/>
  <c r="Y18" i="9"/>
  <c r="AE17" i="9"/>
  <c r="AF17" i="9" s="1"/>
  <c r="AM17" i="9" s="1"/>
  <c r="Y17" i="9"/>
  <c r="AE16" i="9"/>
  <c r="AF16" i="9" s="1"/>
  <c r="AM16" i="9" s="1"/>
  <c r="Y16" i="9"/>
  <c r="AE15" i="9"/>
  <c r="AF15" i="9" s="1"/>
  <c r="AM15" i="9" s="1"/>
  <c r="Y15" i="9"/>
  <c r="AE14" i="9"/>
  <c r="AF14" i="9" s="1"/>
  <c r="AM14" i="9" s="1"/>
  <c r="Y14" i="9"/>
  <c r="AE13" i="9"/>
  <c r="AF13" i="9" s="1"/>
  <c r="AM13" i="9" s="1"/>
  <c r="Y13" i="9"/>
  <c r="AE12" i="9"/>
  <c r="AF12" i="9" s="1"/>
  <c r="AM12" i="9" s="1"/>
  <c r="Y12" i="9"/>
  <c r="AG11" i="9"/>
  <c r="AH11" i="9" s="1"/>
  <c r="AN11" i="9" s="1"/>
  <c r="Y11" i="9"/>
  <c r="AG10" i="9"/>
  <c r="AH10" i="9" s="1"/>
  <c r="AN10" i="9" s="1"/>
  <c r="Y10" i="9"/>
  <c r="AG9" i="9"/>
  <c r="AH9" i="9" s="1"/>
  <c r="AN9" i="9" s="1"/>
  <c r="Y9" i="9"/>
  <c r="AG8" i="9"/>
  <c r="AH8" i="9" s="1"/>
  <c r="AN8" i="9" s="1"/>
  <c r="Y8" i="9"/>
  <c r="AG7" i="9"/>
  <c r="AH7" i="9" s="1"/>
  <c r="AN7" i="9" s="1"/>
  <c r="Y7" i="9"/>
  <c r="AG6" i="9"/>
  <c r="AH6" i="9" s="1"/>
  <c r="AN6" i="9" s="1"/>
  <c r="Y6" i="9"/>
  <c r="AG5" i="9"/>
  <c r="AH5" i="9" s="1"/>
  <c r="AN5" i="9" s="1"/>
  <c r="X5" i="9"/>
  <c r="Y5" i="9" s="1"/>
  <c r="AG4" i="9"/>
  <c r="Y4" i="9"/>
  <c r="AH4" i="9" s="1"/>
  <c r="AN4" i="9" s="1"/>
  <c r="AG3" i="9"/>
  <c r="Y3" i="9"/>
  <c r="AH3" i="9" s="1"/>
  <c r="AN3" i="9" s="1"/>
  <c r="AG2" i="9"/>
  <c r="Y2" i="9"/>
  <c r="AH2" i="9" s="1"/>
  <c r="AN2" i="9" s="1"/>
  <c r="F43" i="8"/>
  <c r="E43" i="8"/>
  <c r="D43" i="8"/>
  <c r="F42" i="8"/>
  <c r="E42" i="8"/>
  <c r="D42" i="8"/>
  <c r="F41" i="8"/>
  <c r="E41" i="8"/>
  <c r="D41" i="8"/>
  <c r="F40" i="8"/>
  <c r="E40" i="8"/>
  <c r="D40" i="8"/>
  <c r="F39" i="8"/>
  <c r="E39" i="8"/>
  <c r="D39" i="8"/>
  <c r="F38" i="8"/>
  <c r="E38" i="8"/>
  <c r="D38" i="8"/>
  <c r="F37" i="8"/>
  <c r="E37" i="8"/>
  <c r="D37" i="8"/>
  <c r="F36" i="8"/>
  <c r="E36" i="8"/>
  <c r="D36" i="8"/>
  <c r="F35" i="8"/>
  <c r="E35" i="8"/>
  <c r="D35" i="8"/>
  <c r="F34" i="8"/>
  <c r="E34" i="8"/>
  <c r="D34" i="8"/>
  <c r="F33" i="8"/>
  <c r="E33" i="8"/>
  <c r="D33" i="8"/>
  <c r="F32" i="8"/>
  <c r="E32" i="8"/>
  <c r="D32" i="8"/>
  <c r="F31" i="8"/>
  <c r="E31" i="8"/>
  <c r="D31" i="8"/>
  <c r="F30" i="8"/>
  <c r="E30" i="8"/>
  <c r="D30" i="8"/>
  <c r="F29" i="8"/>
  <c r="E29" i="8"/>
  <c r="D29" i="8"/>
  <c r="F28" i="8"/>
  <c r="E28" i="8"/>
  <c r="D28" i="8"/>
  <c r="F27" i="8"/>
  <c r="E27" i="8"/>
  <c r="D27" i="8"/>
  <c r="F26" i="8"/>
  <c r="E26" i="8"/>
  <c r="D26" i="8"/>
  <c r="F25" i="8"/>
  <c r="E25" i="8"/>
  <c r="D25" i="8"/>
  <c r="F24" i="8"/>
  <c r="E24" i="8"/>
  <c r="D24" i="8"/>
  <c r="F23" i="8"/>
  <c r="E23" i="8"/>
  <c r="D23" i="8"/>
  <c r="F22" i="8"/>
  <c r="E22" i="8"/>
  <c r="D22" i="8"/>
  <c r="F21" i="8"/>
  <c r="E21" i="8"/>
  <c r="D21" i="8"/>
  <c r="F20" i="8"/>
  <c r="E20" i="8"/>
  <c r="D20" i="8"/>
  <c r="F19" i="8"/>
  <c r="E19" i="8"/>
  <c r="D19" i="8"/>
  <c r="F18" i="8"/>
  <c r="E18" i="8"/>
  <c r="D18" i="8"/>
  <c r="F17" i="8"/>
  <c r="E17" i="8"/>
  <c r="D17" i="8"/>
  <c r="F16" i="8"/>
  <c r="E16" i="8"/>
  <c r="D16" i="8"/>
  <c r="F15" i="8"/>
  <c r="E15" i="8"/>
  <c r="D15" i="8"/>
  <c r="F14" i="8"/>
  <c r="E14" i="8"/>
  <c r="D14" i="8"/>
  <c r="F13" i="8"/>
  <c r="E13" i="8"/>
  <c r="D13" i="8"/>
  <c r="F12" i="8"/>
  <c r="E12" i="8"/>
  <c r="D12" i="8"/>
  <c r="F11" i="8"/>
  <c r="E11" i="8"/>
  <c r="D11" i="8"/>
  <c r="F10" i="8"/>
  <c r="E10" i="8"/>
  <c r="F9" i="8"/>
  <c r="E9" i="8"/>
  <c r="D9" i="8"/>
  <c r="F8" i="8"/>
  <c r="E8" i="8"/>
  <c r="D8" i="8"/>
  <c r="F7" i="8"/>
  <c r="E7" i="8"/>
  <c r="D7" i="8"/>
  <c r="F6" i="8"/>
  <c r="E6" i="8"/>
  <c r="D6" i="8"/>
  <c r="F5" i="8"/>
  <c r="E5" i="8"/>
  <c r="D5" i="8"/>
  <c r="F4" i="8"/>
  <c r="E4" i="8"/>
  <c r="D4" i="8"/>
  <c r="F3" i="8"/>
  <c r="E3" i="8"/>
  <c r="D3" i="8"/>
  <c r="F2" i="8"/>
  <c r="E2" i="8"/>
  <c r="D2" i="8"/>
  <c r="D45" i="8" s="1"/>
  <c r="E30" i="7"/>
  <c r="D30" i="7"/>
  <c r="E29" i="7"/>
  <c r="D29" i="7"/>
  <c r="K28" i="7"/>
  <c r="K29" i="7" s="1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E12" i="7"/>
  <c r="D12" i="7"/>
  <c r="E11" i="7"/>
  <c r="D11" i="7"/>
  <c r="E10" i="7"/>
  <c r="D10" i="7"/>
  <c r="E9" i="7"/>
  <c r="D9" i="7"/>
  <c r="E8" i="7"/>
  <c r="D8" i="7"/>
  <c r="E7" i="7"/>
  <c r="D7" i="7"/>
  <c r="E6" i="7"/>
  <c r="D6" i="7"/>
  <c r="E5" i="7"/>
  <c r="D5" i="7"/>
  <c r="E4" i="7"/>
  <c r="E33" i="7" s="1"/>
  <c r="D4" i="7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9" i="6"/>
  <c r="C8" i="6"/>
  <c r="C7" i="6"/>
  <c r="C6" i="6"/>
  <c r="C5" i="6"/>
  <c r="C4" i="6"/>
  <c r="C3" i="6"/>
  <c r="C2" i="6"/>
  <c r="C45" i="6" s="1"/>
  <c r="AK60" i="3"/>
  <c r="AJ60" i="3"/>
  <c r="AI60" i="3"/>
  <c r="AI64" i="3" s="1"/>
  <c r="AG60" i="3"/>
  <c r="AC60" i="3"/>
  <c r="AA60" i="3"/>
  <c r="G60" i="3"/>
  <c r="B60" i="3"/>
  <c r="AL59" i="3"/>
  <c r="AF58" i="3"/>
  <c r="AL58" i="3" s="1"/>
  <c r="AE57" i="3"/>
  <c r="Y57" i="3"/>
  <c r="AF57" i="3" s="1"/>
  <c r="AL57" i="3" s="1"/>
  <c r="AF56" i="3"/>
  <c r="AL56" i="3" s="1"/>
  <c r="AD56" i="3"/>
  <c r="AE56" i="3" s="1"/>
  <c r="Y56" i="3"/>
  <c r="AE55" i="3"/>
  <c r="AF55" i="3" s="1"/>
  <c r="AL55" i="3" s="1"/>
  <c r="Y55" i="3"/>
  <c r="AE54" i="3"/>
  <c r="X54" i="3"/>
  <c r="Y54" i="3" s="1"/>
  <c r="AE53" i="3"/>
  <c r="Y53" i="3"/>
  <c r="AF53" i="3" s="1"/>
  <c r="AL53" i="3" s="1"/>
  <c r="AE52" i="3"/>
  <c r="Y52" i="3"/>
  <c r="AF52" i="3" s="1"/>
  <c r="AL52" i="3" s="1"/>
  <c r="AE51" i="3"/>
  <c r="Y51" i="3"/>
  <c r="AF51" i="3" s="1"/>
  <c r="AL51" i="3" s="1"/>
  <c r="AE50" i="3"/>
  <c r="Y50" i="3"/>
  <c r="AF50" i="3" s="1"/>
  <c r="AL50" i="3" s="1"/>
  <c r="AE49" i="3"/>
  <c r="Y49" i="3"/>
  <c r="AF49" i="3" s="1"/>
  <c r="AL49" i="3" s="1"/>
  <c r="AF48" i="3"/>
  <c r="AL48" i="3" s="1"/>
  <c r="Z48" i="3"/>
  <c r="AE48" i="3" s="1"/>
  <c r="Y48" i="3"/>
  <c r="AB47" i="3"/>
  <c r="Z47" i="3"/>
  <c r="AE47" i="3" s="1"/>
  <c r="AF47" i="3" s="1"/>
  <c r="AL47" i="3" s="1"/>
  <c r="Y47" i="3"/>
  <c r="AL46" i="3"/>
  <c r="AE46" i="3"/>
  <c r="AF46" i="3" s="1"/>
  <c r="Y46" i="3"/>
  <c r="AE45" i="3"/>
  <c r="AF45" i="3" s="1"/>
  <c r="AL45" i="3" s="1"/>
  <c r="Y45" i="3"/>
  <c r="AE44" i="3"/>
  <c r="AF44" i="3" s="1"/>
  <c r="AL44" i="3" s="1"/>
  <c r="Y44" i="3"/>
  <c r="AE43" i="3"/>
  <c r="AF43" i="3" s="1"/>
  <c r="AL43" i="3" s="1"/>
  <c r="Y43" i="3"/>
  <c r="AE42" i="3"/>
  <c r="AF42" i="3" s="1"/>
  <c r="AL42" i="3" s="1"/>
  <c r="Y42" i="3"/>
  <c r="AE41" i="3"/>
  <c r="AF41" i="3" s="1"/>
  <c r="AL41" i="3" s="1"/>
  <c r="Y41" i="3"/>
  <c r="AE40" i="3"/>
  <c r="AF40" i="3" s="1"/>
  <c r="AL40" i="3" s="1"/>
  <c r="AB40" i="3"/>
  <c r="Y40" i="3"/>
  <c r="X40" i="3"/>
  <c r="AE39" i="3"/>
  <c r="AF39" i="3" s="1"/>
  <c r="AL39" i="3" s="1"/>
  <c r="Y39" i="3"/>
  <c r="AE38" i="3"/>
  <c r="AF38" i="3" s="1"/>
  <c r="AL38" i="3" s="1"/>
  <c r="Y38" i="3"/>
  <c r="AE37" i="3"/>
  <c r="AF37" i="3" s="1"/>
  <c r="AL37" i="3" s="1"/>
  <c r="Y37" i="3"/>
  <c r="AE36" i="3"/>
  <c r="AF36" i="3" s="1"/>
  <c r="AL36" i="3" s="1"/>
  <c r="Y36" i="3"/>
  <c r="AD35" i="3"/>
  <c r="AB35" i="3"/>
  <c r="AE35" i="3" s="1"/>
  <c r="AF35" i="3" s="1"/>
  <c r="AL35" i="3" s="1"/>
  <c r="Z35" i="3"/>
  <c r="Y35" i="3"/>
  <c r="AE34" i="3"/>
  <c r="Y34" i="3"/>
  <c r="AF34" i="3" s="1"/>
  <c r="AL34" i="3" s="1"/>
  <c r="AE33" i="3"/>
  <c r="Y33" i="3"/>
  <c r="AF33" i="3" s="1"/>
  <c r="AL33" i="3" s="1"/>
  <c r="AE32" i="3"/>
  <c r="AF32" i="3" s="1"/>
  <c r="Y32" i="3"/>
  <c r="AE31" i="3"/>
  <c r="AF31" i="3" s="1"/>
  <c r="AL31" i="3" s="1"/>
  <c r="Y31" i="3"/>
  <c r="AE30" i="3"/>
  <c r="Y30" i="3"/>
  <c r="AF30" i="3" s="1"/>
  <c r="AL30" i="3" s="1"/>
  <c r="AN30" i="3" s="1"/>
  <c r="AE29" i="3"/>
  <c r="Y29" i="3"/>
  <c r="AF29" i="3" s="1"/>
  <c r="AL29" i="3" s="1"/>
  <c r="X29" i="3"/>
  <c r="AE28" i="3"/>
  <c r="AF28" i="3" s="1"/>
  <c r="AL28" i="3" s="1"/>
  <c r="Y28" i="3"/>
  <c r="AE27" i="3"/>
  <c r="AF27" i="3" s="1"/>
  <c r="AL27" i="3" s="1"/>
  <c r="Y27" i="3"/>
  <c r="AE26" i="3"/>
  <c r="AF26" i="3" s="1"/>
  <c r="AL26" i="3" s="1"/>
  <c r="Y26" i="3"/>
  <c r="AE25" i="3"/>
  <c r="AF25" i="3" s="1"/>
  <c r="AL25" i="3" s="1"/>
  <c r="Y25" i="3"/>
  <c r="AE24" i="3"/>
  <c r="AF24" i="3" s="1"/>
  <c r="AL24" i="3" s="1"/>
  <c r="Y24" i="3"/>
  <c r="AD23" i="3"/>
  <c r="AB23" i="3"/>
  <c r="AE23" i="3" s="1"/>
  <c r="AF23" i="3" s="1"/>
  <c r="AL23" i="3" s="1"/>
  <c r="Z23" i="3"/>
  <c r="Y23" i="3"/>
  <c r="AE22" i="3"/>
  <c r="Y22" i="3"/>
  <c r="AF22" i="3" s="1"/>
  <c r="AL22" i="3" s="1"/>
  <c r="AD21" i="3"/>
  <c r="AB21" i="3"/>
  <c r="Z21" i="3"/>
  <c r="AE21" i="3" s="1"/>
  <c r="X21" i="3"/>
  <c r="Y21" i="3" s="1"/>
  <c r="AE20" i="3"/>
  <c r="Y20" i="3"/>
  <c r="AF20" i="3" s="1"/>
  <c r="AL20" i="3" s="1"/>
  <c r="AE19" i="3"/>
  <c r="Y19" i="3"/>
  <c r="AF19" i="3" s="1"/>
  <c r="AL19" i="3" s="1"/>
  <c r="AE18" i="3"/>
  <c r="Y18" i="3"/>
  <c r="AF18" i="3" s="1"/>
  <c r="AL18" i="3" s="1"/>
  <c r="AB17" i="3"/>
  <c r="Z17" i="3"/>
  <c r="AE17" i="3" s="1"/>
  <c r="AF17" i="3" s="1"/>
  <c r="AL17" i="3" s="1"/>
  <c r="Y17" i="3"/>
  <c r="AE16" i="3"/>
  <c r="Y16" i="3"/>
  <c r="AF16" i="3" s="1"/>
  <c r="AL16" i="3" s="1"/>
  <c r="AD15" i="3"/>
  <c r="AB15" i="3"/>
  <c r="Z15" i="3"/>
  <c r="AE15" i="3" s="1"/>
  <c r="AF15" i="3" s="1"/>
  <c r="AL15" i="3" s="1"/>
  <c r="X15" i="3"/>
  <c r="Y15" i="3" s="1"/>
  <c r="AE14" i="3"/>
  <c r="Y14" i="3"/>
  <c r="AF14" i="3" s="1"/>
  <c r="AL14" i="3" s="1"/>
  <c r="AD13" i="3"/>
  <c r="AE13" i="3" s="1"/>
  <c r="AF13" i="3" s="1"/>
  <c r="AL13" i="3" s="1"/>
  <c r="Y13" i="3"/>
  <c r="AD12" i="3"/>
  <c r="AB12" i="3"/>
  <c r="AE12" i="3" s="1"/>
  <c r="AF12" i="3" s="1"/>
  <c r="AL12" i="3" s="1"/>
  <c r="Y12" i="3"/>
  <c r="AE11" i="3"/>
  <c r="AF11" i="3" s="1"/>
  <c r="AL11" i="3" s="1"/>
  <c r="Y11" i="3"/>
  <c r="AE10" i="3"/>
  <c r="AF10" i="3" s="1"/>
  <c r="AL10" i="3" s="1"/>
  <c r="Z10" i="3"/>
  <c r="Y10" i="3"/>
  <c r="AE9" i="3"/>
  <c r="Y9" i="3"/>
  <c r="AF9" i="3" s="1"/>
  <c r="AL9" i="3" s="1"/>
  <c r="AD8" i="3"/>
  <c r="AB8" i="3"/>
  <c r="AB60" i="3" s="1"/>
  <c r="Z8" i="3"/>
  <c r="Y8" i="3"/>
  <c r="AE7" i="3"/>
  <c r="Y7" i="3"/>
  <c r="AF7" i="3" s="1"/>
  <c r="AL7" i="3" s="1"/>
  <c r="AH6" i="3"/>
  <c r="AE6" i="3"/>
  <c r="AF6" i="3" s="1"/>
  <c r="AL6" i="3" s="1"/>
  <c r="Y6" i="3"/>
  <c r="AE5" i="3"/>
  <c r="Y5" i="3"/>
  <c r="AF5" i="3" s="1"/>
  <c r="AB17" i="2"/>
  <c r="Z17" i="2"/>
  <c r="AF16" i="2"/>
  <c r="AF15" i="2"/>
  <c r="AL13" i="2"/>
  <c r="AK13" i="2"/>
  <c r="AJ13" i="2"/>
  <c r="AI13" i="2"/>
  <c r="AD13" i="2"/>
  <c r="AC13" i="2"/>
  <c r="AB13" i="2"/>
  <c r="AA13" i="2"/>
  <c r="Z13" i="2"/>
  <c r="G13" i="2"/>
  <c r="B13" i="2"/>
  <c r="AF11" i="2"/>
  <c r="Y11" i="2"/>
  <c r="AG11" i="2" s="1"/>
  <c r="AM11" i="2" s="1"/>
  <c r="AF10" i="2"/>
  <c r="Y10" i="2"/>
  <c r="AG10" i="2" s="1"/>
  <c r="AM10" i="2" s="1"/>
  <c r="AF9" i="2"/>
  <c r="Y9" i="2"/>
  <c r="AG9" i="2" s="1"/>
  <c r="AM9" i="2" s="1"/>
  <c r="AF8" i="2"/>
  <c r="Y8" i="2"/>
  <c r="AG8" i="2" s="1"/>
  <c r="AM8" i="2" s="1"/>
  <c r="AF7" i="2"/>
  <c r="Y7" i="2"/>
  <c r="AG7" i="2" s="1"/>
  <c r="AM7" i="2" s="1"/>
  <c r="AF6" i="2"/>
  <c r="AF13" i="2" s="1"/>
  <c r="Y6" i="2"/>
  <c r="AG6" i="2" s="1"/>
  <c r="AL5" i="3" l="1"/>
  <c r="C10" i="6"/>
  <c r="D10" i="8"/>
  <c r="AM6" i="2"/>
  <c r="AM13" i="2" s="1"/>
  <c r="AG13" i="2"/>
  <c r="AF21" i="3"/>
  <c r="AL21" i="3" s="1"/>
  <c r="AE8" i="3"/>
  <c r="Z60" i="3"/>
  <c r="AD60" i="3"/>
  <c r="AF54" i="3"/>
  <c r="AL54" i="3" s="1"/>
  <c r="F49" i="12"/>
  <c r="F50" i="12"/>
  <c r="F52" i="12" s="1"/>
  <c r="AH32" i="3" s="1"/>
  <c r="AL32" i="3" s="1"/>
  <c r="AG68" i="3"/>
  <c r="K30" i="7"/>
  <c r="H31" i="12"/>
  <c r="F3" i="12" s="1"/>
  <c r="F16" i="12" s="1"/>
  <c r="F19" i="12" s="1"/>
  <c r="AF8" i="3" l="1"/>
  <c r="AE3" i="3"/>
  <c r="AE60" i="3"/>
  <c r="AH60" i="3"/>
  <c r="AG67" i="3" s="1"/>
  <c r="AL8" i="3" l="1"/>
  <c r="AF60" i="3"/>
  <c r="AG65" i="3" s="1"/>
  <c r="AH69" i="3" s="1"/>
  <c r="AN8" i="3" l="1"/>
  <c r="AL60" i="3"/>
  <c r="AL3" i="3"/>
  <c r="P3" i="3" s="1"/>
  <c r="R3" i="3" s="1"/>
  <c r="AN60" i="3" l="1"/>
  <c r="AG71" i="3"/>
  <c r="AG73" i="3" s="1"/>
  <c r="AP60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8" authorId="0" shapeId="0" xr:uid="{00000000-0006-0000-0200-000004000000}">
      <text>
        <r>
          <rPr>
            <sz val="11"/>
            <color rgb="FF000000"/>
            <rFont val="Calibri"/>
            <scheme val="minor"/>
          </rPr>
          <t>Pv Salary : 66551
New Salary from May 73200</t>
        </r>
      </text>
    </comment>
    <comment ref="Z16" authorId="0" shapeId="0" xr:uid="{00000000-0006-0000-0200-000008000000}">
      <text>
        <r>
          <rPr>
            <sz val="11"/>
            <color rgb="FF000000"/>
            <rFont val="Calibri"/>
            <scheme val="minor"/>
          </rPr>
          <t xml:space="preserve">
</t>
        </r>
      </text>
    </comment>
    <comment ref="AE17" authorId="0" shapeId="0" xr:uid="{00000000-0006-0000-0200-00000B000000}">
      <text>
        <r>
          <rPr>
            <sz val="11"/>
            <color rgb="FF000000"/>
            <rFont val="Calibri"/>
            <scheme val="minor"/>
          </rPr>
          <t xml:space="preserve">Previous Salary: 28600
New Salary from May 2026 31500
</t>
        </r>
      </text>
    </comment>
    <comment ref="AE22" authorId="0" shapeId="0" xr:uid="{00000000-0006-0000-0200-000007000000}">
      <text>
        <r>
          <rPr>
            <sz val="11"/>
            <color rgb="FF000000"/>
            <rFont val="Calibri"/>
            <scheme val="minor"/>
          </rPr>
          <t>ac5:
Previous Salary : 74876
Revised Salary : 82364</t>
        </r>
      </text>
    </comment>
    <comment ref="AE24" authorId="0" shapeId="0" xr:uid="{00000000-0006-0000-0200-000005000000}">
      <text>
        <r>
          <rPr>
            <sz val="11"/>
            <color rgb="FF000000"/>
            <rFont val="Calibri"/>
            <scheme val="minor"/>
          </rPr>
          <t>P. Salary 36000
Now 10% Increased from February Salary</t>
        </r>
      </text>
    </comment>
    <comment ref="AE27" authorId="0" shapeId="0" xr:uid="{00000000-0006-0000-0200-000001000000}">
      <text>
        <r>
          <rPr>
            <sz val="11"/>
            <color rgb="FF000000"/>
            <rFont val="Calibri"/>
            <scheme val="minor"/>
          </rPr>
          <t xml:space="preserve">Previous Salary: 27500
Increase 10% Salary: 30250
</t>
        </r>
      </text>
    </comment>
    <comment ref="AG29" authorId="0" shapeId="0" xr:uid="{00000000-0006-0000-0200-000002000000}">
      <text>
        <r>
          <rPr>
            <sz val="11"/>
            <color rgb="FF000000"/>
            <rFont val="Calibri"/>
            <scheme val="minor"/>
          </rPr>
          <t>20% Deduction 13 Days WFH</t>
        </r>
      </text>
    </comment>
    <comment ref="AE34" authorId="0" shapeId="0" xr:uid="{00000000-0006-0000-0200-00000A000000}">
      <text>
        <r>
          <rPr>
            <sz val="11"/>
            <color rgb="FF000000"/>
            <rFont val="Calibri"/>
            <scheme val="minor"/>
          </rPr>
          <t>Previous Salary 60500, Now Increament from May Salary
New Salary : 64000</t>
        </r>
      </text>
    </comment>
    <comment ref="AE35" authorId="0" shapeId="0" xr:uid="{00000000-0006-0000-0200-000009000000}">
      <text>
        <r>
          <rPr>
            <sz val="11"/>
            <color rgb="FF000000"/>
            <rFont val="Calibri"/>
            <scheme val="minor"/>
          </rPr>
          <t>Previous Salary : 44000
New Salary from May 48400</t>
        </r>
      </text>
    </comment>
    <comment ref="AE41" authorId="0" shapeId="0" xr:uid="{00000000-0006-0000-0200-000003000000}">
      <text>
        <r>
          <rPr>
            <sz val="11"/>
            <color rgb="FF000000"/>
            <rFont val="Calibri"/>
            <scheme val="minor"/>
          </rPr>
          <t xml:space="preserve">PV Salary 30000
New Salary from May 33000
</t>
        </r>
      </text>
    </comment>
    <comment ref="AG42" authorId="0" shapeId="0" xr:uid="{00000000-0006-0000-0200-000006000000}">
      <text>
        <r>
          <rPr>
            <sz val="11"/>
            <color rgb="FF000000"/>
            <rFont val="Calibri"/>
            <scheme val="minor"/>
          </rPr>
          <t>PV month Incentive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G14" authorId="0" shapeId="0" xr:uid="{00000000-0006-0000-0800-000001000000}">
      <text>
        <r>
          <rPr>
            <sz val="11"/>
            <color rgb="FF000000"/>
            <rFont val="Calibri"/>
            <scheme val="minor"/>
          </rPr>
          <t>PV month Incentive</t>
        </r>
      </text>
    </comment>
  </commentList>
</comments>
</file>

<file path=xl/sharedStrings.xml><?xml version="1.0" encoding="utf-8"?>
<sst xmlns="http://schemas.openxmlformats.org/spreadsheetml/2006/main" count="2679" uniqueCount="1053">
  <si>
    <t>88Academics</t>
  </si>
  <si>
    <t>Draft Pay Register for the month of September 2025</t>
  </si>
  <si>
    <t>PAY_DATE</t>
  </si>
  <si>
    <t>Employee Code</t>
  </si>
  <si>
    <t>Employee Name</t>
  </si>
  <si>
    <t>Date of Join</t>
  </si>
  <si>
    <t>Gender</t>
  </si>
  <si>
    <t>Date of Birth</t>
  </si>
  <si>
    <t>Date of Leaving</t>
  </si>
  <si>
    <t>Father Name</t>
  </si>
  <si>
    <t>Department</t>
  </si>
  <si>
    <t>Designation</t>
  </si>
  <si>
    <t>Cost_Centre</t>
  </si>
  <si>
    <t>Work Location</t>
  </si>
  <si>
    <t>UAN_No</t>
  </si>
  <si>
    <t>PAN</t>
  </si>
  <si>
    <t>Aadhaar Number</t>
  </si>
  <si>
    <t>Bank Name</t>
  </si>
  <si>
    <t>Account_No</t>
  </si>
  <si>
    <t>IFSC_Code</t>
  </si>
  <si>
    <t>Name As Per Bank</t>
  </si>
  <si>
    <t>Nationality</t>
  </si>
  <si>
    <t>Mobile Number</t>
  </si>
  <si>
    <t>Email ID</t>
  </si>
  <si>
    <t>STDDAYS</t>
  </si>
  <si>
    <t>LOP DAYS</t>
  </si>
  <si>
    <t>WRKDAYS</t>
  </si>
  <si>
    <t>Basic</t>
  </si>
  <si>
    <t>Basic Arrear</t>
  </si>
  <si>
    <t>House Rent Allowance</t>
  </si>
  <si>
    <t>HRA Arrear</t>
  </si>
  <si>
    <t>Special Allowance</t>
  </si>
  <si>
    <t>LOP Reversals</t>
  </si>
  <si>
    <t>Total Salary</t>
  </si>
  <si>
    <t>Salary Payable</t>
  </si>
  <si>
    <t>TDS</t>
  </si>
  <si>
    <t>Monthly TDS</t>
  </si>
  <si>
    <t>Provident Fund</t>
  </si>
  <si>
    <t>PF Arrears</t>
  </si>
  <si>
    <t>LWF</t>
  </si>
  <si>
    <t>Net Salary Payable</t>
  </si>
  <si>
    <t>August</t>
  </si>
  <si>
    <t>88A1001</t>
  </si>
  <si>
    <t>Narayan Kasat</t>
  </si>
  <si>
    <t>01/11/2021</t>
  </si>
  <si>
    <t>M</t>
  </si>
  <si>
    <t>27/06/1975</t>
  </si>
  <si>
    <t>Mr. H.L.Kasat</t>
  </si>
  <si>
    <t>Management</t>
  </si>
  <si>
    <t>C.O.O</t>
  </si>
  <si>
    <t>NEW DELHI</t>
  </si>
  <si>
    <t>AGAPK2560P</t>
  </si>
  <si>
    <t>678252973676</t>
  </si>
  <si>
    <t>AXIS BANK</t>
  </si>
  <si>
    <t>921010013386877</t>
  </si>
  <si>
    <t>UTIB0004626</t>
  </si>
  <si>
    <t>INDIAN</t>
  </si>
  <si>
    <t>9891054411</t>
  </si>
  <si>
    <t>narayan@88tuition.com</t>
  </si>
  <si>
    <t>88A1002</t>
  </si>
  <si>
    <t>Babu Lal</t>
  </si>
  <si>
    <t>07/02/1987</t>
  </si>
  <si>
    <t>Bhagwan Sahay</t>
  </si>
  <si>
    <t>IT</t>
  </si>
  <si>
    <t>Project Head</t>
  </si>
  <si>
    <t>ADAPL0527A</t>
  </si>
  <si>
    <t>725320397392</t>
  </si>
  <si>
    <t>911010047193187</t>
  </si>
  <si>
    <t>UTIB0001007</t>
  </si>
  <si>
    <t>9873030060</t>
  </si>
  <si>
    <t>babulal0060@gmail.com</t>
  </si>
  <si>
    <t>88A1003</t>
  </si>
  <si>
    <t>Gulshan</t>
  </si>
  <si>
    <t>01/05/1999</t>
  </si>
  <si>
    <t>J.P. Sharma</t>
  </si>
  <si>
    <t>Operations</t>
  </si>
  <si>
    <t>Manager</t>
  </si>
  <si>
    <t>CERPG0826H</t>
  </si>
  <si>
    <t>830140509131</t>
  </si>
  <si>
    <t>KARUR VYSYA BANK</t>
  </si>
  <si>
    <t>4101155000110629</t>
  </si>
  <si>
    <t>KVBL0004101</t>
  </si>
  <si>
    <t>9717013679</t>
  </si>
  <si>
    <t>gulshan12207@gmail.com</t>
  </si>
  <si>
    <t>88G1001</t>
  </si>
  <si>
    <t>Rashi Gupta</t>
  </si>
  <si>
    <t>F</t>
  </si>
  <si>
    <t>19/03/1991</t>
  </si>
  <si>
    <t>A. N. Gupta</t>
  </si>
  <si>
    <t>Academic</t>
  </si>
  <si>
    <t>BDCPG4329J</t>
  </si>
  <si>
    <t>366855676793</t>
  </si>
  <si>
    <t>STATE BANK OF INDIA</t>
  </si>
  <si>
    <t>65122570810</t>
  </si>
  <si>
    <t>SBIN0050324</t>
  </si>
  <si>
    <t>9654365202</t>
  </si>
  <si>
    <t>rashig350@gmail.com</t>
  </si>
  <si>
    <t>88G1003</t>
  </si>
  <si>
    <t>Raj Kamal Sharma</t>
  </si>
  <si>
    <t>10/02/1989</t>
  </si>
  <si>
    <t>Om Vir Sharma</t>
  </si>
  <si>
    <t>Asst. Manager</t>
  </si>
  <si>
    <t>DEOPS7788G</t>
  </si>
  <si>
    <t>432153723120</t>
  </si>
  <si>
    <t>31582334723</t>
  </si>
  <si>
    <t>SBIN0018166</t>
  </si>
  <si>
    <t>9968722755</t>
  </si>
  <si>
    <t>007kamalrajsharma@gmail.com</t>
  </si>
  <si>
    <t>88G1007</t>
  </si>
  <si>
    <t>Roshan Sharma</t>
  </si>
  <si>
    <t>14/06/1997</t>
  </si>
  <si>
    <t>Jai Prakash Sharma</t>
  </si>
  <si>
    <t>CNJPR5123H</t>
  </si>
  <si>
    <t>938129698636</t>
  </si>
  <si>
    <t>BANK OF MAHARASHTRA</t>
  </si>
  <si>
    <t>60285501118</t>
  </si>
  <si>
    <t>MAHB0001744</t>
  </si>
  <si>
    <t>9911811713</t>
  </si>
  <si>
    <t>roshansharma110043@gmail.com</t>
  </si>
  <si>
    <t>88G1008</t>
  </si>
  <si>
    <t>Mohan Kumar</t>
  </si>
  <si>
    <t>13/12/1990</t>
  </si>
  <si>
    <t>Mr. Arun Kumar Sahu</t>
  </si>
  <si>
    <t>Team Lead</t>
  </si>
  <si>
    <t>DDCPK9632Q</t>
  </si>
  <si>
    <t>669511376061</t>
  </si>
  <si>
    <t>UNION BANK OF INDIA</t>
  </si>
  <si>
    <t>520101231465821</t>
  </si>
  <si>
    <t>UBIN0911691</t>
  </si>
  <si>
    <t>9540409376</t>
  </si>
  <si>
    <t>mohankr2006@gmail.com</t>
  </si>
  <si>
    <t>88G1011</t>
  </si>
  <si>
    <t>Meenakshi Gosai</t>
  </si>
  <si>
    <t>05/01/1993</t>
  </si>
  <si>
    <t>Late Kundan Lal</t>
  </si>
  <si>
    <t>Marketing &amp; Support</t>
  </si>
  <si>
    <t>Business Development Manager</t>
  </si>
  <si>
    <t>BUQPG9684K</t>
  </si>
  <si>
    <t>354855342339</t>
  </si>
  <si>
    <t>INDIAN OVERSEAS BANK</t>
  </si>
  <si>
    <t>076601000061190</t>
  </si>
  <si>
    <t>IOBA0000766</t>
  </si>
  <si>
    <t>7042668809</t>
  </si>
  <si>
    <t>meenakshigosai15@gmail.com</t>
  </si>
  <si>
    <t>88G1012</t>
  </si>
  <si>
    <t xml:space="preserve">Deepa Chandnani </t>
  </si>
  <si>
    <t>Ghanshyam Bharwani</t>
  </si>
  <si>
    <t>AVLPB5695G</t>
  </si>
  <si>
    <t>563133225753</t>
  </si>
  <si>
    <t>51116630705</t>
  </si>
  <si>
    <t>SBIN0032160</t>
  </si>
  <si>
    <t>Deepa Chandnani</t>
  </si>
  <si>
    <t>9873452523</t>
  </si>
  <si>
    <t>deepabharwanis@gmail.com</t>
  </si>
  <si>
    <t>88G1014</t>
  </si>
  <si>
    <t>Nidhi Gupta</t>
  </si>
  <si>
    <t>27/10/1975</t>
  </si>
  <si>
    <t>J. P. Gupta</t>
  </si>
  <si>
    <t>AEEPG1703Q</t>
  </si>
  <si>
    <t>840497171317</t>
  </si>
  <si>
    <t>Canara Bank</t>
  </si>
  <si>
    <t>110037818923</t>
  </si>
  <si>
    <t>CNRB0003160</t>
  </si>
  <si>
    <t>9958127672</t>
  </si>
  <si>
    <t>nidhi.gupta.ng90@gmail.com</t>
  </si>
  <si>
    <t>88G1022</t>
  </si>
  <si>
    <t>Shalini Sharma</t>
  </si>
  <si>
    <t>03/02/2022</t>
  </si>
  <si>
    <t>03/07/1990</t>
  </si>
  <si>
    <t>BINNI SHARMA</t>
  </si>
  <si>
    <t>DFDPS2978C</t>
  </si>
  <si>
    <t>390094950274</t>
  </si>
  <si>
    <t>20088263301</t>
  </si>
  <si>
    <t>SBIN0011550</t>
  </si>
  <si>
    <t>Indian</t>
  </si>
  <si>
    <t>9999868854</t>
  </si>
  <si>
    <t>sharmashalini0307@gmail.com</t>
  </si>
  <si>
    <t>88G1041</t>
  </si>
  <si>
    <t>Vikas Panwar</t>
  </si>
  <si>
    <t>01/07/2022</t>
  </si>
  <si>
    <t>15/08/1994</t>
  </si>
  <si>
    <t>Dilip Keshri</t>
  </si>
  <si>
    <t>DNMPP4480B</t>
  </si>
  <si>
    <t>557891030486</t>
  </si>
  <si>
    <t>KOTAK MAHINDRA BANK</t>
  </si>
  <si>
    <t>5246430031</t>
  </si>
  <si>
    <t>KKBK0004596</t>
  </si>
  <si>
    <t>8755629335</t>
  </si>
  <si>
    <t>vikashpanwar888@gmail.com</t>
  </si>
  <si>
    <t>88G1064</t>
  </si>
  <si>
    <t>Maheen Ajmali</t>
  </si>
  <si>
    <t>13/10/2022</t>
  </si>
  <si>
    <t>04/08/1997</t>
  </si>
  <si>
    <t>Mohd Arif Ajmali</t>
  </si>
  <si>
    <t>CXGPA1055G</t>
  </si>
  <si>
    <t>299829943417</t>
  </si>
  <si>
    <t>35853508559</t>
  </si>
  <si>
    <t>SBIN0005918</t>
  </si>
  <si>
    <t>9873907268</t>
  </si>
  <si>
    <t>maheenajmali974@gmail.com</t>
  </si>
  <si>
    <t>88G1076</t>
  </si>
  <si>
    <t>Neelansh Pandey</t>
  </si>
  <si>
    <t>27/03/2023</t>
  </si>
  <si>
    <t>29/12/1999</t>
  </si>
  <si>
    <t>Maneesh Pandey</t>
  </si>
  <si>
    <t>Technology</t>
  </si>
  <si>
    <t>Software Engineer</t>
  </si>
  <si>
    <t>GBWPP6646A</t>
  </si>
  <si>
    <t>725384430510</t>
  </si>
  <si>
    <t>FEDERAL BANK</t>
  </si>
  <si>
    <t>55550125053999</t>
  </si>
  <si>
    <t>FDRL0005555</t>
  </si>
  <si>
    <t>9696472351</t>
  </si>
  <si>
    <t>neelansh.email@gmail.com</t>
  </si>
  <si>
    <t>88G1087</t>
  </si>
  <si>
    <t>Arpit Acharya</t>
  </si>
  <si>
    <t>30/10/2023</t>
  </si>
  <si>
    <t>23/09/1997</t>
  </si>
  <si>
    <t>Vimal Acharya</t>
  </si>
  <si>
    <t>VGLD</t>
  </si>
  <si>
    <t>CQVPA0022P</t>
  </si>
  <si>
    <t>928630894864</t>
  </si>
  <si>
    <t>ICICI Bank</t>
  </si>
  <si>
    <t>8268890388</t>
  </si>
  <si>
    <t>arpitacharya23@gmail.com</t>
  </si>
  <si>
    <t>TOTAL</t>
  </si>
  <si>
    <t>88A1004</t>
  </si>
  <si>
    <t>Ajay Kumar Saxena</t>
  </si>
  <si>
    <t>20/06/1992</t>
  </si>
  <si>
    <t>Late Jayant Kumar Lala</t>
  </si>
  <si>
    <t>DYDPS8248Q</t>
  </si>
  <si>
    <t>336743542508</t>
  </si>
  <si>
    <t>HDFC BANK LTD</t>
  </si>
  <si>
    <t>50100446028500</t>
  </si>
  <si>
    <t>HDFC0004754</t>
  </si>
  <si>
    <t>8527697925</t>
  </si>
  <si>
    <t>aj.saxena0326@gmail.com</t>
  </si>
  <si>
    <t>88G1004</t>
  </si>
  <si>
    <t>Simran Kumari Arora</t>
  </si>
  <si>
    <t>19/12/1996</t>
  </si>
  <si>
    <t>Ramesh Arora</t>
  </si>
  <si>
    <t>DCXPA5508M</t>
  </si>
  <si>
    <t>400878015992</t>
  </si>
  <si>
    <t>50100367679688</t>
  </si>
  <si>
    <t>Simran Arora</t>
  </si>
  <si>
    <t>7838783381</t>
  </si>
  <si>
    <t>simranarora121996@gmail.com</t>
  </si>
  <si>
    <t>88G1013</t>
  </si>
  <si>
    <t>Jyoti Pal</t>
  </si>
  <si>
    <t>22/05/1993</t>
  </si>
  <si>
    <t>J.L Pal</t>
  </si>
  <si>
    <t>BRRPP8283K</t>
  </si>
  <si>
    <t>863713103811</t>
  </si>
  <si>
    <t>50100151532802</t>
  </si>
  <si>
    <t>HDFC0000294</t>
  </si>
  <si>
    <t>7982950540</t>
  </si>
  <si>
    <t>sen.jyoti5@gmail.com</t>
  </si>
  <si>
    <t>Increment</t>
  </si>
  <si>
    <t>88G1032</t>
  </si>
  <si>
    <t>Kiran Pathak</t>
  </si>
  <si>
    <t>06/04/2022</t>
  </si>
  <si>
    <t>09/07/1996</t>
  </si>
  <si>
    <t>Mr. Shiv Charan Pathak</t>
  </si>
  <si>
    <t>DHPPP5580M</t>
  </si>
  <si>
    <t>441344227722</t>
  </si>
  <si>
    <t>50100570445568</t>
  </si>
  <si>
    <t>9911369360</t>
  </si>
  <si>
    <t>pathakkiran233@gmail.com</t>
  </si>
  <si>
    <t>88G1074</t>
  </si>
  <si>
    <t>Rakesh Singh Rawat</t>
  </si>
  <si>
    <t>14/03/2023</t>
  </si>
  <si>
    <t>03/05/1976</t>
  </si>
  <si>
    <t>Balwant Singh Rawat</t>
  </si>
  <si>
    <t>BUYPR5567C</t>
  </si>
  <si>
    <t>621229408319</t>
  </si>
  <si>
    <t>50100605279393</t>
  </si>
  <si>
    <t>HDFC0003687</t>
  </si>
  <si>
    <t>9013600858</t>
  </si>
  <si>
    <t>rsrawatdtp9@gmail.com</t>
  </si>
  <si>
    <t>88G1078</t>
  </si>
  <si>
    <t>Pinku Kumar</t>
  </si>
  <si>
    <t>10/05/2023</t>
  </si>
  <si>
    <t>15/08/1996</t>
  </si>
  <si>
    <t>Amresh Kumar Mishra</t>
  </si>
  <si>
    <t>SEO Executive</t>
  </si>
  <si>
    <t>CVZPK7257B</t>
  </si>
  <si>
    <t>388227818863</t>
  </si>
  <si>
    <t>50100754820324</t>
  </si>
  <si>
    <t>9485963031</t>
  </si>
  <si>
    <t>pinkudigitalmarketing@gmail.com</t>
  </si>
  <si>
    <t>Draft Pay Register for the month of May 2026</t>
  </si>
  <si>
    <t>Other Banefit</t>
  </si>
  <si>
    <t>Salary Deduction</t>
  </si>
  <si>
    <t>31-05-2026</t>
  </si>
  <si>
    <t>HDFC0007285</t>
  </si>
  <si>
    <t>88V1003</t>
  </si>
  <si>
    <t>Rachna Ajmani</t>
  </si>
  <si>
    <t>02/10/1980</t>
  </si>
  <si>
    <t>Lt. Sh. Harish Chander Batra</t>
  </si>
  <si>
    <t>BHIPA7769N</t>
  </si>
  <si>
    <t>215770644706</t>
  </si>
  <si>
    <t>50100067622091</t>
  </si>
  <si>
    <t>HDFC0001657</t>
  </si>
  <si>
    <t>8527697922</t>
  </si>
  <si>
    <t>rachna@vglearningdestination.com</t>
  </si>
  <si>
    <t>88V1012</t>
  </si>
  <si>
    <t>Sandeep Maurya</t>
  </si>
  <si>
    <t>02/01/2022</t>
  </si>
  <si>
    <t>25/08/1997</t>
  </si>
  <si>
    <t>Jayprakash Maurya</t>
  </si>
  <si>
    <t>Mobile Application Developer</t>
  </si>
  <si>
    <t>DEFPM3399Q</t>
  </si>
  <si>
    <t>233161412775</t>
  </si>
  <si>
    <t>051601003530</t>
  </si>
  <si>
    <t>ICIC0000815</t>
  </si>
  <si>
    <t>7379258598</t>
  </si>
  <si>
    <t>me.sandy00@gmail.com</t>
  </si>
  <si>
    <t>88V1018</t>
  </si>
  <si>
    <t>Priya Madan</t>
  </si>
  <si>
    <t>01/08/2022</t>
  </si>
  <si>
    <t>03/03/1985</t>
  </si>
  <si>
    <t>SUBHASH BANGERA</t>
  </si>
  <si>
    <t>APQPB6598D</t>
  </si>
  <si>
    <t>941384090856</t>
  </si>
  <si>
    <t>911010066143864</t>
  </si>
  <si>
    <t>UTIB0000739</t>
  </si>
  <si>
    <t>9654797629</t>
  </si>
  <si>
    <t>priya.madan331985@gmail.com</t>
  </si>
  <si>
    <t>88V1024</t>
  </si>
  <si>
    <t>Monika Dhingra</t>
  </si>
  <si>
    <t>19/12/2022</t>
  </si>
  <si>
    <t>11/11/1982</t>
  </si>
  <si>
    <t>Evaluation Support Executive</t>
  </si>
  <si>
    <t>AGKPD1159K</t>
  </si>
  <si>
    <t>936304152231</t>
  </si>
  <si>
    <t>630101511988</t>
  </si>
  <si>
    <t>ICIC0006301</t>
  </si>
  <si>
    <t>9873040788</t>
  </si>
  <si>
    <t>monikadh11@gmail.com</t>
  </si>
  <si>
    <t>88V1029</t>
  </si>
  <si>
    <t>Sandeep</t>
  </si>
  <si>
    <t>01/04/2023</t>
  </si>
  <si>
    <t>28/11/1987</t>
  </si>
  <si>
    <t>Shri Sudama Prasad Gupta</t>
  </si>
  <si>
    <t>Operations Executive</t>
  </si>
  <si>
    <t>BTAPS8845P</t>
  </si>
  <si>
    <t>683236866217</t>
  </si>
  <si>
    <t>50100255004836</t>
  </si>
  <si>
    <t>HDFC0000026</t>
  </si>
  <si>
    <t>9582781076</t>
  </si>
  <si>
    <t>sandeepguptaseo@gmail.com</t>
  </si>
  <si>
    <t>88V1032</t>
  </si>
  <si>
    <t>Mohd Ubaid</t>
  </si>
  <si>
    <t>15/06/1997</t>
  </si>
  <si>
    <t>Mohd Haseen</t>
  </si>
  <si>
    <t>AHEPU6987F</t>
  </si>
  <si>
    <t>950525699650</t>
  </si>
  <si>
    <t>50100262389811</t>
  </si>
  <si>
    <t>HDFC0000708</t>
  </si>
  <si>
    <t>9999314704</t>
  </si>
  <si>
    <t>ubaidkhan6166@gmail.com</t>
  </si>
  <si>
    <t>88V1033</t>
  </si>
  <si>
    <t>Jyoti Singh</t>
  </si>
  <si>
    <t>05/10/1997</t>
  </si>
  <si>
    <t>Late Mr Madan pal Singh</t>
  </si>
  <si>
    <t>LXKPS2332B</t>
  </si>
  <si>
    <t>335290214255</t>
  </si>
  <si>
    <t>721801500772</t>
  </si>
  <si>
    <t>ICIC0007218</t>
  </si>
  <si>
    <t>7982537821</t>
  </si>
  <si>
    <t>jyotisingh23839@gmail.com</t>
  </si>
  <si>
    <t>88V1035</t>
  </si>
  <si>
    <t>Sugandha Bhatnagar</t>
  </si>
  <si>
    <t>22/05/1988</t>
  </si>
  <si>
    <t>Vivek bhatnagar</t>
  </si>
  <si>
    <t>BJYPB9879A</t>
  </si>
  <si>
    <t>756329670090</t>
  </si>
  <si>
    <t>Indian Bank</t>
  </si>
  <si>
    <t>59084158508</t>
  </si>
  <si>
    <t>IDIB000T553</t>
  </si>
  <si>
    <t>Sugandha</t>
  </si>
  <si>
    <t>8534999427</t>
  </si>
  <si>
    <t>sugandhabhatnagar0121@gmail.com</t>
  </si>
  <si>
    <t>88V1047</t>
  </si>
  <si>
    <t>Porikhit  Das</t>
  </si>
  <si>
    <t>14/08/2023</t>
  </si>
  <si>
    <t>10/10/1994</t>
  </si>
  <si>
    <t>Raju Das</t>
  </si>
  <si>
    <t>BXHPD3077M</t>
  </si>
  <si>
    <t>361057786305</t>
  </si>
  <si>
    <t>7546347903</t>
  </si>
  <si>
    <t>KKBK0004575</t>
  </si>
  <si>
    <t>Porikhit Das</t>
  </si>
  <si>
    <t>8135820955</t>
  </si>
  <si>
    <t>porikhitdas16@gmail.com</t>
  </si>
  <si>
    <t>88V1050</t>
  </si>
  <si>
    <t>Manazir</t>
  </si>
  <si>
    <t>18/09/2023</t>
  </si>
  <si>
    <t>10/09/2000</t>
  </si>
  <si>
    <t>Afaq Ahmad</t>
  </si>
  <si>
    <t>EYZPM8286B</t>
  </si>
  <si>
    <t>629843778596</t>
  </si>
  <si>
    <t>50100683165229</t>
  </si>
  <si>
    <t>7678985427</t>
  </si>
  <si>
    <t>mr.afaq12345@gmail.com</t>
  </si>
  <si>
    <t>88V1051</t>
  </si>
  <si>
    <t>Shohrab Haidar</t>
  </si>
  <si>
    <t>01/09/2023</t>
  </si>
  <si>
    <t>20/04/1998</t>
  </si>
  <si>
    <t>Afzal hussain</t>
  </si>
  <si>
    <t>ARPPH2377D</t>
  </si>
  <si>
    <t>634825133916</t>
  </si>
  <si>
    <t>PUNJAB AND SIND BANK</t>
  </si>
  <si>
    <t>14952122003500</t>
  </si>
  <si>
    <t>PUNB0509610</t>
  </si>
  <si>
    <t>9773605547</t>
  </si>
  <si>
    <t>sohrabhaider97@gmail.com</t>
  </si>
  <si>
    <t>88V1052</t>
  </si>
  <si>
    <t>Anita Dubey</t>
  </si>
  <si>
    <t>16/11/2023</t>
  </si>
  <si>
    <t>12/08/1976</t>
  </si>
  <si>
    <t>P DP CHOURASIA</t>
  </si>
  <si>
    <t>General Manager</t>
  </si>
  <si>
    <t>AMFPD7530B</t>
  </si>
  <si>
    <t>765803347470</t>
  </si>
  <si>
    <t>631201503816</t>
  </si>
  <si>
    <t>ICIC0006312</t>
  </si>
  <si>
    <t>9912990661</t>
  </si>
  <si>
    <t>anitadubay@gmail.com</t>
  </si>
  <si>
    <t>88V1062</t>
  </si>
  <si>
    <t>Parth Dilip Saraiya</t>
  </si>
  <si>
    <t>22/01/2024</t>
  </si>
  <si>
    <t>14/04/1995</t>
  </si>
  <si>
    <t>Dilip Prabhudas Saraiya</t>
  </si>
  <si>
    <t>Sr. Executive</t>
  </si>
  <si>
    <t>FUNPS2736H</t>
  </si>
  <si>
    <t>384092122476</t>
  </si>
  <si>
    <t>50100461863868</t>
  </si>
  <si>
    <t>HDFC0000489</t>
  </si>
  <si>
    <t>7506327714</t>
  </si>
  <si>
    <t>parthsaraiya77@gmail.com</t>
  </si>
  <si>
    <t>88V1067</t>
  </si>
  <si>
    <t>Sangita Chaurasia</t>
  </si>
  <si>
    <t>08/02/2024</t>
  </si>
  <si>
    <t>30/03/1974</t>
  </si>
  <si>
    <t>Sangeeta Chourasia</t>
  </si>
  <si>
    <t>Senior Business Development Manager</t>
  </si>
  <si>
    <t>AGFPC0825Q</t>
  </si>
  <si>
    <t>415140302515</t>
  </si>
  <si>
    <t>12281050015374</t>
  </si>
  <si>
    <t>HDFC0001228</t>
  </si>
  <si>
    <t>7893566120</t>
  </si>
  <si>
    <t>sangeetachourasia1977@gmail.com</t>
  </si>
  <si>
    <t>88V1076</t>
  </si>
  <si>
    <t>Alok Kumar Srivastava</t>
  </si>
  <si>
    <t>01/04/2024</t>
  </si>
  <si>
    <t>02/01/1977</t>
  </si>
  <si>
    <t>Awdesh prasad</t>
  </si>
  <si>
    <t>BSCPS3651L</t>
  </si>
  <si>
    <t>881174158755</t>
  </si>
  <si>
    <t>50100197657364</t>
  </si>
  <si>
    <t>9268048522</t>
  </si>
  <si>
    <t>aloksrivastva01@gmail.com</t>
  </si>
  <si>
    <t>88V1077</t>
  </si>
  <si>
    <t>Aman  Kumar</t>
  </si>
  <si>
    <t>08/04/2024</t>
  </si>
  <si>
    <t>03/02/2001</t>
  </si>
  <si>
    <t>Ashok Kumar</t>
  </si>
  <si>
    <t>JUSPK9115H</t>
  </si>
  <si>
    <t>940911811731</t>
  </si>
  <si>
    <t>7678231846</t>
  </si>
  <si>
    <t>amanammu0001@gmail.com</t>
  </si>
  <si>
    <t>88V1085</t>
  </si>
  <si>
    <t>Manmohan Singh Rawat</t>
  </si>
  <si>
    <t>17/05/2024</t>
  </si>
  <si>
    <t>20/07/1982</t>
  </si>
  <si>
    <t>L S Rawat</t>
  </si>
  <si>
    <t>AKKPR9916L</t>
  </si>
  <si>
    <t>988868176956</t>
  </si>
  <si>
    <t>50100286871518</t>
  </si>
  <si>
    <t>HDFC0002005</t>
  </si>
  <si>
    <t>9643817909</t>
  </si>
  <si>
    <t>rawatsinghmanmohan@gmail.com</t>
  </si>
  <si>
    <t>88V1089</t>
  </si>
  <si>
    <t>Chetan Bisht</t>
  </si>
  <si>
    <t>10/06/2024</t>
  </si>
  <si>
    <t>07/07/1999</t>
  </si>
  <si>
    <t>Narottam Bisht</t>
  </si>
  <si>
    <t>CZSPB6257M</t>
  </si>
  <si>
    <t>781244878416</t>
  </si>
  <si>
    <t>922010024097820</t>
  </si>
  <si>
    <t>UTIB0004122</t>
  </si>
  <si>
    <t>9315688493</t>
  </si>
  <si>
    <t>chetanbisht2715@gmail.com</t>
  </si>
  <si>
    <t>88V1090</t>
  </si>
  <si>
    <t>Nitin Parashar</t>
  </si>
  <si>
    <t>01/04/1998</t>
  </si>
  <si>
    <t>Manoj Parashar</t>
  </si>
  <si>
    <t>DCTPP9267A</t>
  </si>
  <si>
    <t>200341906859</t>
  </si>
  <si>
    <t>50100744847754</t>
  </si>
  <si>
    <t>HDFC0000279</t>
  </si>
  <si>
    <t>9582026264</t>
  </si>
  <si>
    <t>nitinparashar43@gmail.com</t>
  </si>
  <si>
    <t>88V1091</t>
  </si>
  <si>
    <t>Sanjay Tewari</t>
  </si>
  <si>
    <t>01/07/1990</t>
  </si>
  <si>
    <t>Lalit Prasad Tewari</t>
  </si>
  <si>
    <t>Business Development Executive</t>
  </si>
  <si>
    <t>AJKPT5665R</t>
  </si>
  <si>
    <t>429920718466</t>
  </si>
  <si>
    <t>50100485721253</t>
  </si>
  <si>
    <t>HDFC0002061</t>
  </si>
  <si>
    <t>9999476208</t>
  </si>
  <si>
    <t>sanjay01tewari@gmail.com</t>
  </si>
  <si>
    <t>88V1098</t>
  </si>
  <si>
    <t>Unnati  Sharma</t>
  </si>
  <si>
    <t>01/08/2024</t>
  </si>
  <si>
    <t>20/12/1999</t>
  </si>
  <si>
    <t>Mukesh</t>
  </si>
  <si>
    <t>Executive</t>
  </si>
  <si>
    <t>AKCPU5172F</t>
  </si>
  <si>
    <t>462728519001</t>
  </si>
  <si>
    <t>CENTRAL BANK OF INDIA</t>
  </si>
  <si>
    <t>3398624832</t>
  </si>
  <si>
    <t>CBIN0280320</t>
  </si>
  <si>
    <t>9870106997</t>
  </si>
  <si>
    <t>unnatisharma62@gmail.com</t>
  </si>
  <si>
    <t>88V1100</t>
  </si>
  <si>
    <t>Hrithik  Katyal</t>
  </si>
  <si>
    <t>03/09/2024</t>
  </si>
  <si>
    <t>Kharaiti katyal</t>
  </si>
  <si>
    <t>ILOPK3118L</t>
  </si>
  <si>
    <t>291203908019</t>
  </si>
  <si>
    <t>2751101037034</t>
  </si>
  <si>
    <t>CNRB0002751</t>
  </si>
  <si>
    <t>7838179299</t>
  </si>
  <si>
    <t>hrithikkatyal62@gmail.com</t>
  </si>
  <si>
    <t>88V1105</t>
  </si>
  <si>
    <t>Naved Emamuddin Chauhan</t>
  </si>
  <si>
    <t>06/11/2024</t>
  </si>
  <si>
    <t>15/03/1999</t>
  </si>
  <si>
    <t>Emamuddin Chauhan</t>
  </si>
  <si>
    <t>Sr. Business Development Executive</t>
  </si>
  <si>
    <t>BWXPC1258G</t>
  </si>
  <si>
    <t>768700882613</t>
  </si>
  <si>
    <t>50100403118930</t>
  </si>
  <si>
    <t>HDFC0000411</t>
  </si>
  <si>
    <t>8898498128</t>
  </si>
  <si>
    <t>navedmansuri210@gmail.com</t>
  </si>
  <si>
    <t>88V1106</t>
  </si>
  <si>
    <t>Pooja Surendra Singh</t>
  </si>
  <si>
    <t>18/11/2024</t>
  </si>
  <si>
    <t>31/05/1997</t>
  </si>
  <si>
    <t>Surendra Singh</t>
  </si>
  <si>
    <t>GOKPS8099F</t>
  </si>
  <si>
    <t>884539469844</t>
  </si>
  <si>
    <t>641201506765</t>
  </si>
  <si>
    <t>ICIC0006412</t>
  </si>
  <si>
    <t>9702926635</t>
  </si>
  <si>
    <t>pooja.singh051997@gmail.com</t>
  </si>
  <si>
    <t>88V1110</t>
  </si>
  <si>
    <t>Abhishek  Upadhyay</t>
  </si>
  <si>
    <t>03/02/2025</t>
  </si>
  <si>
    <t>29/05/1995</t>
  </si>
  <si>
    <t>Om Prakash Upadhyay</t>
  </si>
  <si>
    <t>AHBPU2618Q</t>
  </si>
  <si>
    <t>202275086911</t>
  </si>
  <si>
    <t>BANK OF INDIA</t>
  </si>
  <si>
    <t>718110510001483</t>
  </si>
  <si>
    <t>BKID0007181</t>
  </si>
  <si>
    <t>7054311774</t>
  </si>
  <si>
    <t>abhiupadhyay170@gmail.com</t>
  </si>
  <si>
    <t>88V1113</t>
  </si>
  <si>
    <t>S Ravi Kumar Dube</t>
  </si>
  <si>
    <t>10/03/2025</t>
  </si>
  <si>
    <t>31/03/1986</t>
  </si>
  <si>
    <t>Shivaji Dube</t>
  </si>
  <si>
    <t>APNPD3887N</t>
  </si>
  <si>
    <t>884625587012</t>
  </si>
  <si>
    <t>7611821611</t>
  </si>
  <si>
    <t>KKBK0007451</t>
  </si>
  <si>
    <t>8977310386</t>
  </si>
  <si>
    <t>ravidube9@gmail.com</t>
  </si>
  <si>
    <t>88V1115</t>
  </si>
  <si>
    <t>Unnati  Singh</t>
  </si>
  <si>
    <t>10/06/2025</t>
  </si>
  <si>
    <t>09/05/2003</t>
  </si>
  <si>
    <t>Sunil Singh</t>
  </si>
  <si>
    <t>Content Writer Executive</t>
  </si>
  <si>
    <t>PIWPS6408F</t>
  </si>
  <si>
    <t>836112758991</t>
  </si>
  <si>
    <t>50100810089015</t>
  </si>
  <si>
    <t>9140913937</t>
  </si>
  <si>
    <t>Unnatisng91@gmail.com</t>
  </si>
  <si>
    <t>88V1116</t>
  </si>
  <si>
    <t>Neha  Parashar</t>
  </si>
  <si>
    <t>01/07/2025</t>
  </si>
  <si>
    <t>05/05/1996</t>
  </si>
  <si>
    <t>Rajesh Mittal</t>
  </si>
  <si>
    <t>FZSPM5215F</t>
  </si>
  <si>
    <t>863072150926</t>
  </si>
  <si>
    <t>RBL BANK LTD</t>
  </si>
  <si>
    <t>309028265632</t>
  </si>
  <si>
    <t>RATN0000532</t>
  </si>
  <si>
    <t>8447661624</t>
  </si>
  <si>
    <t>Nehaprshr555@gmail.com</t>
  </si>
  <si>
    <t>88V1118</t>
  </si>
  <si>
    <t>Sagar Varma</t>
  </si>
  <si>
    <t>Chennai</t>
  </si>
  <si>
    <t>State Bank of India</t>
  </si>
  <si>
    <t>33093018131</t>
  </si>
  <si>
    <t>SBIN0003308</t>
  </si>
  <si>
    <t>Sagar Varma M</t>
  </si>
  <si>
    <t>sagarvarma0280@gmail.com</t>
  </si>
  <si>
    <t>88V1119</t>
  </si>
  <si>
    <t>Aisha Sidhika</t>
  </si>
  <si>
    <t>15-03-2000</t>
  </si>
  <si>
    <t>PUNJAB NATIONAL BANK</t>
  </si>
  <si>
    <t>4919000100044435</t>
  </si>
  <si>
    <t>PUNB0491900</t>
  </si>
  <si>
    <t>AISHA SIDHIKA</t>
  </si>
  <si>
    <t>sidhikhaaisha15@gmail.com</t>
  </si>
  <si>
    <t>88V1121</t>
  </si>
  <si>
    <t>Riya</t>
  </si>
  <si>
    <t>24/11/1998</t>
  </si>
  <si>
    <t>Jasinta Tirkey</t>
  </si>
  <si>
    <t>FNDPR1926P</t>
  </si>
  <si>
    <t>932282568271</t>
  </si>
  <si>
    <t>Canera Bank</t>
  </si>
  <si>
    <t>CNRB0019904</t>
  </si>
  <si>
    <t>9289909280</t>
  </si>
  <si>
    <t>Riyachh143@gmail.com</t>
  </si>
  <si>
    <t>88V1123</t>
  </si>
  <si>
    <t>Renu Aggarwal</t>
  </si>
  <si>
    <t>Student Relationship Manager</t>
  </si>
  <si>
    <t>AJVPA9580D</t>
  </si>
  <si>
    <t>CNRB0000267</t>
  </si>
  <si>
    <t>88V1124</t>
  </si>
  <si>
    <t>Anil Kumar</t>
  </si>
  <si>
    <t>Delhi</t>
  </si>
  <si>
    <t>EIRPK6138N</t>
  </si>
  <si>
    <t>Kotak MahiNDRA BANK</t>
  </si>
  <si>
    <t>KKBK0000203</t>
  </si>
  <si>
    <t>anil@vglearningdestination.com</t>
  </si>
  <si>
    <t>88V1122</t>
  </si>
  <si>
    <t>Asad Ansari</t>
  </si>
  <si>
    <t>23-12-2000</t>
  </si>
  <si>
    <t>Also Leave in May, Confirm by porikhit</t>
  </si>
  <si>
    <t>DJCPA3887H</t>
  </si>
  <si>
    <t>HDFC0001236</t>
  </si>
  <si>
    <t>mdasadansari2000@gmail.com</t>
  </si>
  <si>
    <t>88V1125</t>
  </si>
  <si>
    <t>Lakshminarayan Agrawal</t>
  </si>
  <si>
    <t>Jagdish Prasad</t>
  </si>
  <si>
    <t>Lucknow</t>
  </si>
  <si>
    <t>CGSPA0647K</t>
  </si>
  <si>
    <t>Yes Bank</t>
  </si>
  <si>
    <t>YESB0000072</t>
  </si>
  <si>
    <t>lnagrawal005@gmail.com</t>
  </si>
  <si>
    <t>88V1127</t>
  </si>
  <si>
    <t>Deep Ghatak</t>
  </si>
  <si>
    <t>15-04-2025</t>
  </si>
  <si>
    <t>Prasanta Kumar Ghatak</t>
  </si>
  <si>
    <t>AITPG5879Q</t>
  </si>
  <si>
    <t>HSBC Bank</t>
  </si>
  <si>
    <t>HSBC0560002</t>
  </si>
  <si>
    <t>deep.ghatak@zohomail.in</t>
  </si>
  <si>
    <t>88V1126</t>
  </si>
  <si>
    <t>Abhishek Verma</t>
  </si>
  <si>
    <t>16-03-2026</t>
  </si>
  <si>
    <t>Ravi Kumar Verma</t>
  </si>
  <si>
    <t>BFNPV5003B</t>
  </si>
  <si>
    <t>Bank of Baroda</t>
  </si>
  <si>
    <t>BARB0VJHAJI</t>
  </si>
  <si>
    <t>abhishekverma683@gmail.com</t>
  </si>
  <si>
    <t>88V1128</t>
  </si>
  <si>
    <t>Lubaina Mirza</t>
  </si>
  <si>
    <t>16-04-2026</t>
  </si>
  <si>
    <t>Zaheer Ali Mirza</t>
  </si>
  <si>
    <t>Mumbai</t>
  </si>
  <si>
    <t>JFWPM3058E</t>
  </si>
  <si>
    <t>Axis Bank</t>
  </si>
  <si>
    <t>UTIB0001621</t>
  </si>
  <si>
    <t>lubaina@vglearningdestination.com</t>
  </si>
  <si>
    <t>Pooja</t>
  </si>
  <si>
    <t>Salary</t>
  </si>
  <si>
    <t>Incentive of November</t>
  </si>
  <si>
    <t>PF</t>
  </si>
  <si>
    <t>Shivam</t>
  </si>
  <si>
    <t>Ubaid</t>
  </si>
  <si>
    <t>Nidhi</t>
  </si>
  <si>
    <t>May_2026 Attendance Summary - 01.05.2026 To 31.05.2026</t>
  </si>
  <si>
    <t>Sr. 
No.</t>
  </si>
  <si>
    <t>Assigned to</t>
  </si>
  <si>
    <t>Employee</t>
  </si>
  <si>
    <t>UID</t>
  </si>
  <si>
    <t>Total Working days</t>
  </si>
  <si>
    <t>Half Day</t>
  </si>
  <si>
    <t>Absent</t>
  </si>
  <si>
    <t>Late upto 10:30</t>
  </si>
  <si>
    <t>Late more than half an hour</t>
  </si>
  <si>
    <t>LOP for Late</t>
  </si>
  <si>
    <t>Holiday working</t>
  </si>
  <si>
    <t>Remarks</t>
  </si>
  <si>
    <t>CL</t>
  </si>
  <si>
    <t>SL</t>
  </si>
  <si>
    <t>PL</t>
  </si>
  <si>
    <t>Optional Holiday</t>
  </si>
  <si>
    <t>LOP</t>
  </si>
  <si>
    <t>Punching Missing</t>
  </si>
  <si>
    <t>Work from home</t>
  </si>
  <si>
    <t>-</t>
  </si>
  <si>
    <t>Ajay Saxena</t>
  </si>
  <si>
    <t>AJAY SAXENA</t>
  </si>
  <si>
    <t>88E1114</t>
  </si>
  <si>
    <t>PRIYA MADAN</t>
  </si>
  <si>
    <t>88E1115</t>
  </si>
  <si>
    <t>Divya Thakur</t>
  </si>
  <si>
    <t>Late upto 10:30= 07</t>
  </si>
  <si>
    <t>88E1116</t>
  </si>
  <si>
    <t>Babita</t>
  </si>
  <si>
    <t>88E1120</t>
  </si>
  <si>
    <t>Kunal Kashyap</t>
  </si>
  <si>
    <t>88E1121</t>
  </si>
  <si>
    <t>88E1122</t>
  </si>
  <si>
    <t>Shahwaiz Ajmali</t>
  </si>
  <si>
    <t>88E1124</t>
  </si>
  <si>
    <t>Dev Karan</t>
  </si>
  <si>
    <t>Late upto 10:30= 19</t>
  </si>
  <si>
    <t>PINKU KUMAR</t>
  </si>
  <si>
    <t>88E1125</t>
  </si>
  <si>
    <t>Sakshi</t>
  </si>
  <si>
    <t>88E1126</t>
  </si>
  <si>
    <t>Juhi Kumari</t>
  </si>
  <si>
    <t>Late upto 10:30= 06</t>
  </si>
  <si>
    <t>88E1127</t>
  </si>
  <si>
    <t>Abdul</t>
  </si>
  <si>
    <t>Late upto 10:30= 05</t>
  </si>
  <si>
    <t>88E1129</t>
  </si>
  <si>
    <t>Akash</t>
  </si>
  <si>
    <t>88E1132</t>
  </si>
  <si>
    <t>Khushi Kumari</t>
  </si>
  <si>
    <t>Raj Kamal</t>
  </si>
  <si>
    <t>RAJ</t>
  </si>
  <si>
    <t>Late upto 10:30= 22</t>
  </si>
  <si>
    <t>SHALINI</t>
  </si>
  <si>
    <t>VIKAS PAWAR</t>
  </si>
  <si>
    <t>ARPIT ACHARYA</t>
  </si>
  <si>
    <t>Self</t>
  </si>
  <si>
    <t>RACHNA AJMANI</t>
  </si>
  <si>
    <t>88V1006</t>
  </si>
  <si>
    <t>SHALU</t>
  </si>
  <si>
    <t>Late upto 10:30= 16</t>
  </si>
  <si>
    <t>Consider 2 days as work from home then 20% salary will deduct</t>
  </si>
  <si>
    <t>MONIKA</t>
  </si>
  <si>
    <t>SANDEEP GUPTA</t>
  </si>
  <si>
    <t>UBAID</t>
  </si>
  <si>
    <t>Late upto 10:30= 21</t>
  </si>
  <si>
    <t>JYOTI SINGH</t>
  </si>
  <si>
    <t>SUGANDHA</t>
  </si>
  <si>
    <t>Late upto 10:30= 01</t>
  </si>
  <si>
    <t>PORIKHIT DAS</t>
  </si>
  <si>
    <t>Late upto 10:30= 13</t>
  </si>
  <si>
    <t>MANAZIR</t>
  </si>
  <si>
    <t>SOHRAB HAIDAR</t>
  </si>
  <si>
    <t>Late upto 10:30= 11</t>
  </si>
  <si>
    <t>Hyderabad</t>
  </si>
  <si>
    <t>Manmohan</t>
  </si>
  <si>
    <t>88V1057</t>
  </si>
  <si>
    <t>Aman Singh</t>
  </si>
  <si>
    <t>Parth Saraiyan</t>
  </si>
  <si>
    <t>Sangeeta</t>
  </si>
  <si>
    <t>ALOK SHRIVASTAVA</t>
  </si>
  <si>
    <t>Aman Kumar</t>
  </si>
  <si>
    <t>88V1078</t>
  </si>
  <si>
    <t>Ishant Garg</t>
  </si>
  <si>
    <t>Manmohan Rawat</t>
  </si>
  <si>
    <t>88V1086</t>
  </si>
  <si>
    <t>Kyvalya</t>
  </si>
  <si>
    <t>Sanjay tewari</t>
  </si>
  <si>
    <t>Kolkata</t>
  </si>
  <si>
    <t>88V1092</t>
  </si>
  <si>
    <t>Rajesh Machhiya</t>
  </si>
  <si>
    <t>Unnati Sharma</t>
  </si>
  <si>
    <t>Late upto 10:30= 14</t>
  </si>
  <si>
    <t>Hrithik Katyal</t>
  </si>
  <si>
    <t>Late upto 10:30= 17</t>
  </si>
  <si>
    <t>Naved Chauhan</t>
  </si>
  <si>
    <t>Pooja Singh</t>
  </si>
  <si>
    <t>Jaipur</t>
  </si>
  <si>
    <t>Abhishek</t>
  </si>
  <si>
    <t>Ravi Duvey</t>
  </si>
  <si>
    <t>Unnati Singh</t>
  </si>
  <si>
    <t>Neha Parasar</t>
  </si>
  <si>
    <t>HOE</t>
  </si>
  <si>
    <t>88H1028</t>
  </si>
  <si>
    <t>Suneaba</t>
  </si>
  <si>
    <t>88H1088</t>
  </si>
  <si>
    <t>Riya Chhabra</t>
  </si>
  <si>
    <t>SUNIL</t>
  </si>
  <si>
    <t>Roshan</t>
  </si>
  <si>
    <t>88V1154</t>
  </si>
  <si>
    <t>Anil</t>
  </si>
  <si>
    <t>3 Days also approved by Narayn Sir</t>
  </si>
  <si>
    <t>88V1175</t>
  </si>
  <si>
    <t>Asad</t>
  </si>
  <si>
    <t>Lakshmi Narayan Agrawal</t>
  </si>
  <si>
    <t>Babulal</t>
  </si>
  <si>
    <t>88V1143</t>
  </si>
  <si>
    <t>Krishna</t>
  </si>
  <si>
    <t>88H1180</t>
  </si>
  <si>
    <t>House of Elorra</t>
  </si>
  <si>
    <t>Transaction_Reference_No</t>
  </si>
  <si>
    <t>Beneficiary_Name</t>
  </si>
  <si>
    <t>Amount</t>
  </si>
  <si>
    <t>Remitter_Details</t>
  </si>
  <si>
    <t>Debit_Account_System</t>
  </si>
  <si>
    <t>Originator_Of_Remittance</t>
  </si>
  <si>
    <t>Email_ID_Mobile_No</t>
  </si>
  <si>
    <t>88ACADEMICS INDIA PRIVATE LIMITED</t>
  </si>
  <si>
    <t>8273317514</t>
  </si>
  <si>
    <t>9899805819</t>
  </si>
  <si>
    <t>Arvind Kumar Mahto</t>
  </si>
  <si>
    <t>Shailja Dhyani</t>
  </si>
  <si>
    <t>Nishant  Goswami</t>
  </si>
  <si>
    <t>7481033282</t>
  </si>
  <si>
    <t>9205031014</t>
  </si>
  <si>
    <t>Ishant  Garg</t>
  </si>
  <si>
    <t>9717032182</t>
  </si>
  <si>
    <t>Neha  Dhall</t>
  </si>
  <si>
    <t>Ankita Rajput</t>
  </si>
  <si>
    <t>8178702039</t>
  </si>
  <si>
    <t>9711826778</t>
  </si>
  <si>
    <t>9315039537</t>
  </si>
  <si>
    <t>CH Shiva</t>
  </si>
  <si>
    <t>8186962254</t>
  </si>
  <si>
    <t>9179727057</t>
  </si>
  <si>
    <t>9348489443</t>
  </si>
  <si>
    <t>Total</t>
  </si>
  <si>
    <t>SL_NO</t>
  </si>
  <si>
    <t>Account no</t>
  </si>
  <si>
    <t>AMOUNT</t>
  </si>
  <si>
    <t>Shalu Gandhi</t>
  </si>
  <si>
    <t>88V1007</t>
  </si>
  <si>
    <t>Bhola Sharma</t>
  </si>
  <si>
    <t>88V1008</t>
  </si>
  <si>
    <t>Sumant sharma</t>
  </si>
  <si>
    <t>88V1019</t>
  </si>
  <si>
    <t>Deepinder Kumar Anand</t>
  </si>
  <si>
    <t>88V1054</t>
  </si>
  <si>
    <t>Dharna Jain</t>
  </si>
  <si>
    <t>88V1114</t>
  </si>
  <si>
    <t>Khushi Rupesh Subramanian</t>
  </si>
  <si>
    <t>88V1117</t>
  </si>
  <si>
    <t>Krishan Pal Singh</t>
  </si>
  <si>
    <t>88V1120</t>
  </si>
  <si>
    <t>Aayushi Pinakin Dhuvad</t>
  </si>
  <si>
    <t>Sunil</t>
  </si>
  <si>
    <t>Remitter_Account No.</t>
  </si>
  <si>
    <t>IFSC Code</t>
  </si>
  <si>
    <t>Bank_Account_Number</t>
  </si>
  <si>
    <t>Beneficiary LEI Code</t>
  </si>
  <si>
    <t>Other Benefit</t>
  </si>
  <si>
    <t>30/11/2025</t>
  </si>
  <si>
    <t>02/04/1994</t>
  </si>
  <si>
    <t>Mr. Manoj Kumar</t>
  </si>
  <si>
    <t>FTEPS2950H</t>
  </si>
  <si>
    <t>521413766561</t>
  </si>
  <si>
    <t>50100320374664</t>
  </si>
  <si>
    <t>HDFC0004400</t>
  </si>
  <si>
    <t>8178558699</t>
  </si>
  <si>
    <t xml:space="preserve">Princessshalu41@gmail.com </t>
  </si>
  <si>
    <t>21/03/1990</t>
  </si>
  <si>
    <t>Ram Briksh Sharma</t>
  </si>
  <si>
    <t>EMTPS5809G</t>
  </si>
  <si>
    <t>358945706233</t>
  </si>
  <si>
    <t>50100671464827</t>
  </si>
  <si>
    <t>HDFC0002509</t>
  </si>
  <si>
    <t>8010418160</t>
  </si>
  <si>
    <t>bhola334@gmail.com</t>
  </si>
  <si>
    <t>26/06/1997</t>
  </si>
  <si>
    <t>Mr. Dayanand Sharma</t>
  </si>
  <si>
    <t>Jr. Software Engineer</t>
  </si>
  <si>
    <t>MBWPS9718L</t>
  </si>
  <si>
    <t>436349720443</t>
  </si>
  <si>
    <t>50100471094691</t>
  </si>
  <si>
    <t>8115019830</t>
  </si>
  <si>
    <t>sharmasumant092@gmail.com</t>
  </si>
  <si>
    <t>19/08/1989</t>
  </si>
  <si>
    <t>Gyan Chand</t>
  </si>
  <si>
    <t>BJSPA7312P</t>
  </si>
  <si>
    <t>866993461179</t>
  </si>
  <si>
    <t>50100374469868</t>
  </si>
  <si>
    <t>8527697920</t>
  </si>
  <si>
    <t>deependeranand89@gmail.com</t>
  </si>
  <si>
    <t>88V1074</t>
  </si>
  <si>
    <t>18/03/2024</t>
  </si>
  <si>
    <t>15/09/1980</t>
  </si>
  <si>
    <t>Gangaram Bhardwaj</t>
  </si>
  <si>
    <t>ASLPD0880A</t>
  </si>
  <si>
    <t>952955251762</t>
  </si>
  <si>
    <t>30838184866</t>
  </si>
  <si>
    <t>SBIN0032182</t>
  </si>
  <si>
    <t>dhyani.shailja@gmail.com</t>
  </si>
  <si>
    <t>88V1082</t>
  </si>
  <si>
    <t>24/04/2024</t>
  </si>
  <si>
    <t>12/07/2000</t>
  </si>
  <si>
    <t>Parveen Dhall</t>
  </si>
  <si>
    <t>EZLPD7666B</t>
  </si>
  <si>
    <t>607133965459</t>
  </si>
  <si>
    <t>639502010012535</t>
  </si>
  <si>
    <t>UBIN0563951</t>
  </si>
  <si>
    <t>dhallneha2000@gmail.com</t>
  </si>
  <si>
    <t>88V1084</t>
  </si>
  <si>
    <t>08/05/2024</t>
  </si>
  <si>
    <t>02/05/2001</t>
  </si>
  <si>
    <t>suresh chandra</t>
  </si>
  <si>
    <t>EFGPR7171A</t>
  </si>
  <si>
    <t>417687447753</t>
  </si>
  <si>
    <t>38532821158</t>
  </si>
  <si>
    <t>SBIN0061203</t>
  </si>
  <si>
    <t>iamankitarajput3@gmail.com</t>
  </si>
  <si>
    <t>31-12-2025</t>
  </si>
  <si>
    <t>04/12/2023</t>
  </si>
  <si>
    <t>07/01/2000</t>
  </si>
  <si>
    <t>Rajesh Jain</t>
  </si>
  <si>
    <t>BVXPJ3487P</t>
  </si>
  <si>
    <t>607361874982</t>
  </si>
  <si>
    <t>50100618103035</t>
  </si>
  <si>
    <t>HDFC0002091</t>
  </si>
  <si>
    <t>954018168</t>
  </si>
  <si>
    <t>dharnajain07@gmail.com</t>
  </si>
  <si>
    <t>88V1094</t>
  </si>
  <si>
    <t>08/07/2024</t>
  </si>
  <si>
    <t>22/02/1995</t>
  </si>
  <si>
    <t>Ch Viswanath</t>
  </si>
  <si>
    <t>LZXPS7724L</t>
  </si>
  <si>
    <t>708102547472</t>
  </si>
  <si>
    <t>BANK OF BARODA</t>
  </si>
  <si>
    <t>05120100031898</t>
  </si>
  <si>
    <t>BARB0SECUND</t>
  </si>
  <si>
    <t>chshiva3877@gmail.com</t>
  </si>
  <si>
    <t>30/06/2000</t>
  </si>
  <si>
    <t>15-12-2025</t>
  </si>
  <si>
    <t>Dileep Singh</t>
  </si>
  <si>
    <t>LNMPS6237H</t>
  </si>
  <si>
    <t>988998640555</t>
  </si>
  <si>
    <t>50100539685358</t>
  </si>
  <si>
    <t>HDFC0002670</t>
  </si>
  <si>
    <t>9602349484</t>
  </si>
  <si>
    <t>kpbanna.singh05@gmail.com</t>
  </si>
  <si>
    <t>31-01-2026</t>
  </si>
  <si>
    <t>88V1056</t>
  </si>
  <si>
    <t>06/12/2023</t>
  </si>
  <si>
    <t>11/12/1993</t>
  </si>
  <si>
    <t>Lalman Mahto</t>
  </si>
  <si>
    <t>DSMPM3816B</t>
  </si>
  <si>
    <t>696062126697</t>
  </si>
  <si>
    <t>IDFC FIRST BANK LTD</t>
  </si>
  <si>
    <t>10149719238</t>
  </si>
  <si>
    <t>IDFB0020217</t>
  </si>
  <si>
    <t>iamarvinkr@gmail.com</t>
  </si>
  <si>
    <t>21/04/2025</t>
  </si>
  <si>
    <t>12/02/2002</t>
  </si>
  <si>
    <t>Rupesh</t>
  </si>
  <si>
    <t>NMZPS9682A</t>
  </si>
  <si>
    <t>299601769647</t>
  </si>
  <si>
    <t>50100496616101</t>
  </si>
  <si>
    <t>7738321038</t>
  </si>
  <si>
    <t>subramaniankhushi@gmail.com</t>
  </si>
  <si>
    <t>15-09-2025</t>
  </si>
  <si>
    <t>50100661851456</t>
  </si>
  <si>
    <t>HDFC0000542</t>
  </si>
  <si>
    <t>AAYUSHI PINAKIN DHUVAD</t>
  </si>
  <si>
    <t>88V1075</t>
  </si>
  <si>
    <t>12/01/1991</t>
  </si>
  <si>
    <t>VIMAL GOSWAMI</t>
  </si>
  <si>
    <t>BMYPG9702L</t>
  </si>
  <si>
    <t>615260204495</t>
  </si>
  <si>
    <t>918010009771050</t>
  </si>
  <si>
    <t>UTIB0000268</t>
  </si>
  <si>
    <t>nishant.goswami551@gmail.com</t>
  </si>
  <si>
    <t>11/07/1992</t>
  </si>
  <si>
    <t>30-04-2026</t>
  </si>
  <si>
    <t>Rajesh pratap singh</t>
  </si>
  <si>
    <t>EPGPS2324Q</t>
  </si>
  <si>
    <t>479838863151</t>
  </si>
  <si>
    <t>50100215227754</t>
  </si>
  <si>
    <t>HDFC0001203</t>
  </si>
  <si>
    <t>9958392183</t>
  </si>
  <si>
    <t>aman.singh52820@gmail.com</t>
  </si>
  <si>
    <t>04/03/1992</t>
  </si>
  <si>
    <t>L P Machhiya</t>
  </si>
  <si>
    <t>CBXPR5100G</t>
  </si>
  <si>
    <t>309570572311</t>
  </si>
  <si>
    <t>5574729862</t>
  </si>
  <si>
    <t>CBIN0280111</t>
  </si>
  <si>
    <t>machhiyarajesh38@gmail.com</t>
  </si>
  <si>
    <t>02/10/2004</t>
  </si>
  <si>
    <t>Anil Garg</t>
  </si>
  <si>
    <t>EAPPG4081N</t>
  </si>
  <si>
    <t>336156425108</t>
  </si>
  <si>
    <t>HDFC0004782</t>
  </si>
  <si>
    <t>ishantgarg9899@gmail.com</t>
  </si>
  <si>
    <t>Date</t>
  </si>
  <si>
    <t xml:space="preserve">SAGAR </t>
  </si>
  <si>
    <t xml:space="preserve">RIYA </t>
  </si>
  <si>
    <t xml:space="preserve">AISHA </t>
  </si>
  <si>
    <t>DEEP (Counsellor)</t>
  </si>
  <si>
    <t xml:space="preserve">Present </t>
  </si>
  <si>
    <t xml:space="preserve">SUNDAY </t>
  </si>
  <si>
    <t>Half a day Leave</t>
  </si>
  <si>
    <t xml:space="preserve">Leave </t>
  </si>
  <si>
    <t>Month</t>
  </si>
  <si>
    <t>April</t>
  </si>
  <si>
    <t>May</t>
  </si>
  <si>
    <t>June</t>
  </si>
  <si>
    <t>July</t>
  </si>
  <si>
    <t>September</t>
  </si>
  <si>
    <t>October</t>
  </si>
  <si>
    <t>November</t>
  </si>
  <si>
    <t>December</t>
  </si>
  <si>
    <t>January</t>
  </si>
  <si>
    <t>February</t>
  </si>
  <si>
    <t>March</t>
  </si>
  <si>
    <t>Less: Standard Deduction</t>
  </si>
  <si>
    <t>Net Taxable Salary</t>
  </si>
  <si>
    <t>Tax</t>
  </si>
  <si>
    <t>Gross Tax</t>
  </si>
  <si>
    <t>Add: Cess 3%</t>
  </si>
  <si>
    <t>Net Tax Liability</t>
  </si>
  <si>
    <t>Incentive</t>
  </si>
  <si>
    <t>Less; Standard Deduction</t>
  </si>
  <si>
    <t>Gross Tax Liability</t>
  </si>
  <si>
    <t>Net Tax LIability</t>
  </si>
  <si>
    <t xml:space="preserve"> Monthly TDS</t>
  </si>
  <si>
    <t>88academics Pvt Ltd Employee's Performance Register
 For the Month of : May-2026</t>
  </si>
  <si>
    <t>Place Name:</t>
  </si>
  <si>
    <t>Present</t>
  </si>
  <si>
    <t>Leave</t>
  </si>
  <si>
    <t>Sr. No</t>
  </si>
  <si>
    <t>Ravi Dubey (Lucknow)</t>
  </si>
  <si>
    <t>P</t>
  </si>
  <si>
    <t>WO</t>
  </si>
  <si>
    <t>Anita Dubay</t>
  </si>
  <si>
    <t>Income Anita Dubey</t>
  </si>
  <si>
    <t xml:space="preserve">July </t>
  </si>
  <si>
    <t>Dec</t>
  </si>
  <si>
    <t>Jan</t>
  </si>
  <si>
    <t>Feb</t>
  </si>
  <si>
    <t>Mar</t>
  </si>
  <si>
    <t>Basic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</si>
</sst>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_ * #,##0_ ;_ * \-#,##0_ ;_ * &quot;-&quot;??_ ;_ @_ "/>
    <numFmt numFmtId="165" formatCode="_ * #,##0.00_ ;_ * \-#,##0.00_ ;_ * &quot;-&quot;??_ ;_ @_ "/>
    <numFmt numFmtId="166" formatCode="mm\-dd\-yyyy"/>
    <numFmt numFmtId="167" formatCode="m\-d\-yyyy"/>
  </numFmts>
  <fonts count="21">
    <font>
      <sz val="11"/>
      <color rgb="FF000000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b/>
      <sz val="14"/>
      <color rgb="FF000000"/>
      <name val="Calibri"/>
    </font>
    <font>
      <sz val="11"/>
      <name val="Calibri"/>
    </font>
    <font>
      <sz val="11"/>
      <color rgb="FF000000"/>
      <name val="Arial"/>
    </font>
    <font>
      <sz val="11"/>
      <color theme="1"/>
      <name val="Arial"/>
    </font>
    <font>
      <b/>
      <sz val="10"/>
      <color rgb="FF000000"/>
      <name val="Calibri"/>
    </font>
    <font>
      <sz val="12"/>
      <color rgb="FF000000"/>
      <name val="Calibri"/>
    </font>
    <font>
      <sz val="12"/>
      <color rgb="FF382EFA"/>
      <name val="Calibri"/>
    </font>
    <font>
      <b/>
      <sz val="11"/>
      <color rgb="FF000000"/>
      <name val="Calibri"/>
    </font>
    <font>
      <sz val="11"/>
      <color rgb="FFFF0000"/>
      <name val="Arial"/>
    </font>
    <font>
      <sz val="11"/>
      <color rgb="FF000000"/>
      <name val="&quot;Aptos Narrow&quot;"/>
    </font>
    <font>
      <b/>
      <sz val="16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2"/>
      <color theme="1"/>
      <name val="Calibri"/>
    </font>
    <font>
      <sz val="16"/>
      <color theme="1"/>
      <name val="Calibri"/>
    </font>
    <font>
      <b/>
      <sz val="12"/>
      <color rgb="FF000000"/>
      <name val="Calibri"/>
    </font>
  </fonts>
  <fills count="21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D9D9D9"/>
        <bgColor rgb="FFD9D9D9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F7CAAC"/>
        <bgColor rgb="FFF7CAAC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theme="9"/>
        <bgColor theme="9"/>
      </patternFill>
    </fill>
    <fill>
      <patternFill patternType="solid">
        <fgColor rgb="FFC5E0B3"/>
        <bgColor rgb="FFC5E0B3"/>
      </patternFill>
    </fill>
    <fill>
      <patternFill patternType="solid">
        <fgColor rgb="FFDAEEF3"/>
        <bgColor rgb="FFDAEEF3"/>
      </patternFill>
    </fill>
    <fill>
      <patternFill patternType="solid">
        <fgColor rgb="FF00B050"/>
        <bgColor rgb="FF00B050"/>
      </patternFill>
    </fill>
    <fill>
      <patternFill patternType="solid">
        <fgColor rgb="FFF79646"/>
        <bgColor rgb="FFF79646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0">
    <xf numFmtId="0" fontId="0" fillId="0" borderId="0" xfId="0" applyFont="1" applyAlignment="1"/>
    <xf numFmtId="0" fontId="1" fillId="0" borderId="0" xfId="0" applyFont="1"/>
    <xf numFmtId="164" fontId="2" fillId="0" borderId="0" xfId="0" applyNumberFormat="1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2" fillId="0" borderId="1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1" fontId="2" fillId="0" borderId="1" xfId="0" applyNumberFormat="1" applyFont="1" applyBorder="1"/>
    <xf numFmtId="0" fontId="2" fillId="0" borderId="3" xfId="0" applyFont="1" applyBorder="1"/>
    <xf numFmtId="0" fontId="2" fillId="0" borderId="4" xfId="0" applyFont="1" applyBorder="1"/>
    <xf numFmtId="0" fontId="2" fillId="3" borderId="1" xfId="0" applyFont="1" applyFill="1" applyBorder="1"/>
    <xf numFmtId="0" fontId="2" fillId="0" borderId="0" xfId="0" applyFont="1"/>
    <xf numFmtId="0" fontId="1" fillId="0" borderId="5" xfId="0" applyFont="1" applyBorder="1"/>
    <xf numFmtId="164" fontId="1" fillId="0" borderId="5" xfId="0" applyNumberFormat="1" applyFont="1" applyBorder="1"/>
    <xf numFmtId="1" fontId="2" fillId="0" borderId="0" xfId="0" applyNumberFormat="1" applyFont="1" applyAlignment="1">
      <alignment horizontal="left"/>
    </xf>
    <xf numFmtId="165" fontId="2" fillId="0" borderId="1" xfId="0" applyNumberFormat="1" applyFont="1" applyBorder="1"/>
    <xf numFmtId="0" fontId="2" fillId="4" borderId="6" xfId="0" applyFont="1" applyFill="1" applyBorder="1"/>
    <xf numFmtId="0" fontId="1" fillId="0" borderId="0" xfId="0" applyFont="1" applyAlignment="1"/>
    <xf numFmtId="0" fontId="3" fillId="0" borderId="0" xfId="0" applyFont="1" applyAlignment="1"/>
    <xf numFmtId="164" fontId="3" fillId="0" borderId="0" xfId="0" applyNumberFormat="1" applyFont="1"/>
    <xf numFmtId="0" fontId="1" fillId="4" borderId="1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0" borderId="1" xfId="0" applyFont="1" applyBorder="1" applyAlignment="1"/>
    <xf numFmtId="0" fontId="2" fillId="4" borderId="1" xfId="0" applyFont="1" applyFill="1" applyBorder="1"/>
    <xf numFmtId="0" fontId="2" fillId="4" borderId="1" xfId="0" applyFont="1" applyFill="1" applyBorder="1" applyAlignment="1"/>
    <xf numFmtId="0" fontId="2" fillId="5" borderId="1" xfId="0" applyFont="1" applyFill="1" applyBorder="1"/>
    <xf numFmtId="1" fontId="2" fillId="0" borderId="1" xfId="0" applyNumberFormat="1" applyFont="1" applyBorder="1" applyAlignment="1">
      <alignment horizontal="left"/>
    </xf>
    <xf numFmtId="0" fontId="2" fillId="5" borderId="1" xfId="0" applyFont="1" applyFill="1" applyBorder="1" applyAlignment="1"/>
    <xf numFmtId="164" fontId="2" fillId="3" borderId="1" xfId="0" applyNumberFormat="1" applyFont="1" applyFill="1" applyBorder="1"/>
    <xf numFmtId="0" fontId="2" fillId="0" borderId="1" xfId="0" applyFont="1" applyBorder="1" applyAlignment="1">
      <alignment horizontal="left"/>
    </xf>
    <xf numFmtId="166" fontId="2" fillId="3" borderId="1" xfId="0" applyNumberFormat="1" applyFont="1" applyFill="1" applyBorder="1" applyAlignment="1"/>
    <xf numFmtId="14" fontId="2" fillId="0" borderId="1" xfId="0" applyNumberFormat="1" applyFont="1" applyBorder="1" applyAlignment="1">
      <alignment horizontal="left"/>
    </xf>
    <xf numFmtId="0" fontId="2" fillId="0" borderId="1" xfId="0" quotePrefix="1" applyFont="1" applyBorder="1"/>
    <xf numFmtId="0" fontId="4" fillId="0" borderId="0" xfId="0" applyFont="1" applyAlignment="1">
      <alignment horizontal="center"/>
    </xf>
    <xf numFmtId="0" fontId="2" fillId="0" borderId="0" xfId="0" quotePrefix="1" applyFont="1"/>
    <xf numFmtId="0" fontId="2" fillId="0" borderId="1" xfId="0" applyFont="1" applyBorder="1" applyAlignment="1">
      <alignment horizontal="center"/>
    </xf>
    <xf numFmtId="0" fontId="1" fillId="0" borderId="1" xfId="0" applyFont="1" applyBorder="1"/>
    <xf numFmtId="166" fontId="2" fillId="0" borderId="1" xfId="0" applyNumberFormat="1" applyFont="1" applyBorder="1" applyAlignment="1">
      <alignment horizontal="left"/>
    </xf>
    <xf numFmtId="0" fontId="2" fillId="3" borderId="1" xfId="0" applyFont="1" applyFill="1" applyBorder="1" applyAlignment="1"/>
    <xf numFmtId="0" fontId="2" fillId="0" borderId="7" xfId="0" applyFont="1" applyBorder="1"/>
    <xf numFmtId="0" fontId="2" fillId="4" borderId="8" xfId="0" applyFont="1" applyFill="1" applyBorder="1"/>
    <xf numFmtId="166" fontId="2" fillId="0" borderId="7" xfId="0" applyNumberFormat="1" applyFont="1" applyBorder="1" applyAlignment="1">
      <alignment horizontal="left"/>
    </xf>
    <xf numFmtId="0" fontId="2" fillId="0" borderId="0" xfId="0" applyFont="1" applyAlignment="1">
      <alignment horizontal="left"/>
    </xf>
    <xf numFmtId="164" fontId="2" fillId="0" borderId="7" xfId="0" applyNumberFormat="1" applyFont="1" applyBorder="1"/>
    <xf numFmtId="0" fontId="2" fillId="0" borderId="7" xfId="0" applyFont="1" applyBorder="1" applyAlignment="1"/>
    <xf numFmtId="0" fontId="2" fillId="4" borderId="8" xfId="0" applyFont="1" applyFill="1" applyBorder="1" applyAlignment="1"/>
    <xf numFmtId="166" fontId="2" fillId="0" borderId="7" xfId="0" applyNumberFormat="1" applyFont="1" applyBorder="1" applyAlignment="1"/>
    <xf numFmtId="0" fontId="2" fillId="0" borderId="0" xfId="0" applyFont="1" applyAlignment="1"/>
    <xf numFmtId="164" fontId="2" fillId="0" borderId="7" xfId="0" applyNumberFormat="1" applyFont="1" applyBorder="1" applyAlignment="1"/>
    <xf numFmtId="0" fontId="1" fillId="0" borderId="7" xfId="0" applyFont="1" applyBorder="1"/>
    <xf numFmtId="0" fontId="1" fillId="4" borderId="9" xfId="0" applyFont="1" applyFill="1" applyBorder="1"/>
    <xf numFmtId="0" fontId="1" fillId="0" borderId="10" xfId="0" applyFont="1" applyBorder="1"/>
    <xf numFmtId="164" fontId="1" fillId="0" borderId="0" xfId="0" applyNumberFormat="1" applyFont="1"/>
    <xf numFmtId="0" fontId="7" fillId="6" borderId="14" xfId="0" applyFont="1" applyFill="1" applyBorder="1" applyAlignment="1">
      <alignment wrapText="1"/>
    </xf>
    <xf numFmtId="0" fontId="8" fillId="6" borderId="6" xfId="0" applyFont="1" applyFill="1" applyBorder="1"/>
    <xf numFmtId="0" fontId="9" fillId="7" borderId="15" xfId="0" applyFont="1" applyFill="1" applyBorder="1" applyAlignment="1">
      <alignment horizontal="center" vertical="center" wrapText="1"/>
    </xf>
    <xf numFmtId="0" fontId="9" fillId="7" borderId="16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wrapText="1"/>
    </xf>
    <xf numFmtId="0" fontId="7" fillId="0" borderId="16" xfId="0" applyFont="1" applyBorder="1" applyAlignment="1">
      <alignment vertical="top" wrapText="1"/>
    </xf>
    <xf numFmtId="0" fontId="10" fillId="6" borderId="16" xfId="0" applyFont="1" applyFill="1" applyBorder="1" applyAlignment="1">
      <alignment horizontal="center" wrapText="1"/>
    </xf>
    <xf numFmtId="0" fontId="11" fillId="9" borderId="16" xfId="0" applyFont="1" applyFill="1" applyBorder="1" applyAlignment="1">
      <alignment wrapText="1"/>
    </xf>
    <xf numFmtId="0" fontId="10" fillId="9" borderId="16" xfId="0" applyFont="1" applyFill="1" applyBorder="1" applyAlignment="1">
      <alignment vertical="top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vertical="center" wrapText="1"/>
    </xf>
    <xf numFmtId="0" fontId="7" fillId="9" borderId="16" xfId="0" applyFont="1" applyFill="1" applyBorder="1" applyAlignment="1">
      <alignment vertical="center" wrapText="1"/>
    </xf>
    <xf numFmtId="0" fontId="7" fillId="6" borderId="16" xfId="0" applyFont="1" applyFill="1" applyBorder="1" applyAlignment="1">
      <alignment wrapText="1"/>
    </xf>
    <xf numFmtId="0" fontId="11" fillId="6" borderId="16" xfId="0" applyFont="1" applyFill="1" applyBorder="1" applyAlignment="1">
      <alignment wrapText="1"/>
    </xf>
    <xf numFmtId="0" fontId="10" fillId="3" borderId="16" xfId="0" applyFont="1" applyFill="1" applyBorder="1" applyAlignment="1">
      <alignment wrapText="1"/>
    </xf>
    <xf numFmtId="0" fontId="12" fillId="8" borderId="16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11" fontId="11" fillId="6" borderId="16" xfId="0" applyNumberFormat="1" applyFont="1" applyFill="1" applyBorder="1" applyAlignment="1">
      <alignment wrapText="1"/>
    </xf>
    <xf numFmtId="0" fontId="9" fillId="6" borderId="16" xfId="0" applyFont="1" applyFill="1" applyBorder="1" applyAlignment="1">
      <alignment vertical="center" wrapText="1"/>
    </xf>
    <xf numFmtId="0" fontId="13" fillId="5" borderId="16" xfId="0" applyFont="1" applyFill="1" applyBorder="1" applyAlignment="1">
      <alignment horizontal="center" vertical="center" wrapText="1"/>
    </xf>
    <xf numFmtId="11" fontId="11" fillId="9" borderId="16" xfId="0" applyNumberFormat="1" applyFont="1" applyFill="1" applyBorder="1" applyAlignment="1">
      <alignment wrapText="1"/>
    </xf>
    <xf numFmtId="0" fontId="10" fillId="9" borderId="16" xfId="0" applyFont="1" applyFill="1" applyBorder="1" applyAlignment="1">
      <alignment wrapText="1"/>
    </xf>
    <xf numFmtId="0" fontId="12" fillId="9" borderId="16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2" fillId="8" borderId="16" xfId="0" applyFont="1" applyFill="1" applyBorder="1" applyAlignment="1">
      <alignment horizontal="center" vertical="center" wrapText="1"/>
    </xf>
    <xf numFmtId="0" fontId="4" fillId="6" borderId="16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wrapText="1"/>
    </xf>
    <xf numFmtId="0" fontId="7" fillId="6" borderId="16" xfId="0" applyFont="1" applyFill="1" applyBorder="1" applyAlignment="1">
      <alignment vertical="center" wrapText="1"/>
    </xf>
    <xf numFmtId="0" fontId="10" fillId="6" borderId="16" xfId="0" applyFont="1" applyFill="1" applyBorder="1" applyAlignment="1">
      <alignment wrapText="1"/>
    </xf>
    <xf numFmtId="0" fontId="7" fillId="10" borderId="16" xfId="0" applyFont="1" applyFill="1" applyBorder="1" applyAlignment="1">
      <alignment wrapText="1"/>
    </xf>
    <xf numFmtId="0" fontId="10" fillId="10" borderId="16" xfId="0" applyFont="1" applyFill="1" applyBorder="1" applyAlignment="1">
      <alignment horizontal="center" wrapText="1"/>
    </xf>
    <xf numFmtId="0" fontId="11" fillId="10" borderId="16" xfId="0" applyFont="1" applyFill="1" applyBorder="1" applyAlignment="1">
      <alignment wrapText="1"/>
    </xf>
    <xf numFmtId="0" fontId="10" fillId="10" borderId="16" xfId="0" applyFont="1" applyFill="1" applyBorder="1" applyAlignment="1">
      <alignment wrapText="1"/>
    </xf>
    <xf numFmtId="0" fontId="7" fillId="10" borderId="16" xfId="0" applyFont="1" applyFill="1" applyBorder="1" applyAlignment="1">
      <alignment horizontal="center" vertical="center" wrapText="1"/>
    </xf>
    <xf numFmtId="0" fontId="7" fillId="10" borderId="16" xfId="0" applyFont="1" applyFill="1" applyBorder="1" applyAlignment="1">
      <alignment vertical="center" wrapText="1"/>
    </xf>
    <xf numFmtId="0" fontId="7" fillId="3" borderId="16" xfId="0" applyFont="1" applyFill="1" applyBorder="1" applyAlignment="1">
      <alignment wrapText="1"/>
    </xf>
    <xf numFmtId="0" fontId="10" fillId="10" borderId="15" xfId="0" applyFont="1" applyFill="1" applyBorder="1" applyAlignment="1">
      <alignment horizontal="center" wrapText="1"/>
    </xf>
    <xf numFmtId="0" fontId="4" fillId="9" borderId="16" xfId="0" applyFont="1" applyFill="1" applyBorder="1" applyAlignment="1">
      <alignment wrapText="1"/>
    </xf>
    <xf numFmtId="0" fontId="11" fillId="6" borderId="16" xfId="0" applyFont="1" applyFill="1" applyBorder="1" applyAlignment="1">
      <alignment horizontal="center" wrapText="1"/>
    </xf>
    <xf numFmtId="0" fontId="7" fillId="8" borderId="16" xfId="0" applyFont="1" applyFill="1" applyBorder="1" applyAlignment="1">
      <alignment vertical="center" wrapText="1"/>
    </xf>
    <xf numFmtId="0" fontId="7" fillId="9" borderId="16" xfId="0" applyFont="1" applyFill="1" applyBorder="1" applyAlignment="1">
      <alignment wrapText="1"/>
    </xf>
    <xf numFmtId="0" fontId="4" fillId="6" borderId="16" xfId="0" applyFont="1" applyFill="1" applyBorder="1" applyAlignment="1">
      <alignment horizontal="center" wrapText="1"/>
    </xf>
    <xf numFmtId="0" fontId="4" fillId="3" borderId="16" xfId="0" applyFont="1" applyFill="1" applyBorder="1" applyAlignment="1">
      <alignment wrapText="1"/>
    </xf>
    <xf numFmtId="0" fontId="4" fillId="10" borderId="16" xfId="0" applyFont="1" applyFill="1" applyBorder="1" applyAlignment="1">
      <alignment horizontal="center" wrapText="1"/>
    </xf>
    <xf numFmtId="0" fontId="11" fillId="10" borderId="16" xfId="0" applyFont="1" applyFill="1" applyBorder="1" applyAlignment="1">
      <alignment horizontal="center" wrapText="1"/>
    </xf>
    <xf numFmtId="0" fontId="4" fillId="10" borderId="16" xfId="0" applyFont="1" applyFill="1" applyBorder="1" applyAlignment="1">
      <alignment wrapText="1"/>
    </xf>
    <xf numFmtId="0" fontId="4" fillId="6" borderId="16" xfId="0" applyFont="1" applyFill="1" applyBorder="1" applyAlignment="1">
      <alignment wrapText="1"/>
    </xf>
    <xf numFmtId="0" fontId="4" fillId="6" borderId="16" xfId="0" applyFont="1" applyFill="1" applyBorder="1" applyAlignment="1">
      <alignment vertical="center" wrapText="1"/>
    </xf>
    <xf numFmtId="0" fontId="7" fillId="6" borderId="16" xfId="0" applyFont="1" applyFill="1" applyBorder="1" applyAlignment="1">
      <alignment vertical="top" wrapText="1"/>
    </xf>
    <xf numFmtId="0" fontId="8" fillId="8" borderId="6" xfId="0" applyFont="1" applyFill="1" applyBorder="1"/>
    <xf numFmtId="0" fontId="8" fillId="0" borderId="0" xfId="0" applyFont="1"/>
    <xf numFmtId="49" fontId="12" fillId="11" borderId="1" xfId="0" applyNumberFormat="1" applyFont="1" applyFill="1" applyBorder="1" applyAlignment="1">
      <alignment horizontal="left" wrapText="1"/>
    </xf>
    <xf numFmtId="164" fontId="12" fillId="11" borderId="1" xfId="0" applyNumberFormat="1" applyFont="1" applyFill="1" applyBorder="1" applyAlignment="1">
      <alignment horizontal="left" wrapText="1"/>
    </xf>
    <xf numFmtId="49" fontId="2" fillId="0" borderId="1" xfId="0" applyNumberFormat="1" applyFont="1" applyBorder="1"/>
    <xf numFmtId="0" fontId="2" fillId="0" borderId="17" xfId="0" applyFont="1" applyBorder="1" applyAlignment="1">
      <alignment horizontal="center"/>
    </xf>
    <xf numFmtId="49" fontId="2" fillId="0" borderId="17" xfId="0" applyNumberFormat="1" applyFont="1" applyBorder="1"/>
    <xf numFmtId="0" fontId="2" fillId="0" borderId="17" xfId="0" applyFont="1" applyBorder="1"/>
    <xf numFmtId="0" fontId="2" fillId="0" borderId="5" xfId="0" applyFont="1" applyBorder="1"/>
    <xf numFmtId="164" fontId="2" fillId="0" borderId="5" xfId="0" applyNumberFormat="1" applyFont="1" applyBorder="1"/>
    <xf numFmtId="164" fontId="12" fillId="11" borderId="2" xfId="0" applyNumberFormat="1" applyFont="1" applyFill="1" applyBorder="1" applyAlignment="1">
      <alignment horizontal="left" wrapText="1"/>
    </xf>
    <xf numFmtId="1" fontId="2" fillId="0" borderId="1" xfId="0" applyNumberFormat="1" applyFont="1" applyBorder="1" applyAlignment="1">
      <alignment horizontal="center"/>
    </xf>
    <xf numFmtId="0" fontId="2" fillId="12" borderId="1" xfId="0" applyFont="1" applyFill="1" applyBorder="1"/>
    <xf numFmtId="167" fontId="2" fillId="0" borderId="1" xfId="0" applyNumberFormat="1" applyFont="1" applyBorder="1" applyAlignment="1">
      <alignment horizontal="left"/>
    </xf>
    <xf numFmtId="166" fontId="2" fillId="0" borderId="1" xfId="0" applyNumberFormat="1" applyFont="1" applyBorder="1"/>
    <xf numFmtId="14" fontId="1" fillId="11" borderId="1" xfId="0" applyNumberFormat="1" applyFont="1" applyFill="1" applyBorder="1" applyAlignment="1">
      <alignment horizontal="center"/>
    </xf>
    <xf numFmtId="0" fontId="1" fillId="13" borderId="1" xfId="0" applyFont="1" applyFill="1" applyBorder="1" applyAlignment="1">
      <alignment horizontal="center"/>
    </xf>
    <xf numFmtId="14" fontId="4" fillId="0" borderId="1" xfId="0" applyNumberFormat="1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14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wrapText="1"/>
    </xf>
    <xf numFmtId="0" fontId="1" fillId="0" borderId="18" xfId="0" applyFont="1" applyBorder="1"/>
    <xf numFmtId="1" fontId="2" fillId="0" borderId="0" xfId="0" applyNumberFormat="1" applyFont="1"/>
    <xf numFmtId="0" fontId="2" fillId="0" borderId="0" xfId="0" applyFont="1"/>
    <xf numFmtId="1" fontId="1" fillId="0" borderId="18" xfId="0" applyNumberFormat="1" applyFont="1" applyBorder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1" fontId="14" fillId="0" borderId="0" xfId="0" applyNumberFormat="1" applyFont="1" applyAlignment="1"/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1" fontId="2" fillId="0" borderId="20" xfId="0" applyNumberFormat="1" applyFont="1" applyBorder="1" applyAlignment="1">
      <alignment vertical="center"/>
    </xf>
    <xf numFmtId="0" fontId="17" fillId="15" borderId="1" xfId="0" applyFont="1" applyFill="1" applyBorder="1" applyAlignment="1">
      <alignment horizontal="center" vertical="center" wrapText="1"/>
    </xf>
    <xf numFmtId="0" fontId="17" fillId="15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16" fillId="16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8" fillId="0" borderId="1" xfId="0" applyFont="1" applyBorder="1"/>
    <xf numFmtId="0" fontId="17" fillId="17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0" xfId="0" applyFont="1"/>
    <xf numFmtId="0" fontId="20" fillId="18" borderId="1" xfId="0" applyFont="1" applyFill="1" applyBorder="1" applyAlignment="1">
      <alignment horizontal="center"/>
    </xf>
    <xf numFmtId="0" fontId="17" fillId="18" borderId="1" xfId="0" applyFont="1" applyFill="1" applyBorder="1" applyAlignment="1">
      <alignment horizontal="center"/>
    </xf>
    <xf numFmtId="0" fontId="20" fillId="19" borderId="1" xfId="0" applyFont="1" applyFill="1" applyBorder="1" applyAlignment="1">
      <alignment horizontal="center"/>
    </xf>
    <xf numFmtId="0" fontId="20" fillId="18" borderId="23" xfId="0" applyFont="1" applyFill="1" applyBorder="1" applyAlignment="1">
      <alignment horizontal="center"/>
    </xf>
    <xf numFmtId="0" fontId="20" fillId="19" borderId="23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0" borderId="1" xfId="0" applyFont="1" applyBorder="1"/>
    <xf numFmtId="0" fontId="10" fillId="12" borderId="1" xfId="0" applyFont="1" applyFill="1" applyBorder="1" applyAlignment="1">
      <alignment horizontal="center"/>
    </xf>
    <xf numFmtId="14" fontId="2" fillId="0" borderId="0" xfId="0" applyNumberFormat="1" applyFont="1"/>
    <xf numFmtId="0" fontId="2" fillId="0" borderId="24" xfId="0" applyFont="1" applyBorder="1"/>
    <xf numFmtId="165" fontId="2" fillId="0" borderId="0" xfId="0" applyNumberFormat="1" applyFont="1"/>
    <xf numFmtId="0" fontId="5" fillId="6" borderId="11" xfId="0" applyFont="1" applyFill="1" applyBorder="1" applyAlignment="1">
      <alignment horizontal="center" vertical="center" wrapText="1"/>
    </xf>
    <xf numFmtId="0" fontId="6" fillId="0" borderId="12" xfId="0" applyFont="1" applyBorder="1"/>
    <xf numFmtId="0" fontId="6" fillId="0" borderId="13" xfId="0" applyFont="1" applyBorder="1"/>
    <xf numFmtId="0" fontId="4" fillId="3" borderId="3" xfId="0" applyFont="1" applyFill="1" applyBorder="1" applyAlignment="1">
      <alignment horizontal="center" wrapText="1"/>
    </xf>
    <xf numFmtId="0" fontId="6" fillId="0" borderId="18" xfId="0" applyFont="1" applyBorder="1"/>
    <xf numFmtId="0" fontId="6" fillId="0" borderId="19" xfId="0" applyFont="1" applyBorder="1"/>
    <xf numFmtId="0" fontId="15" fillId="0" borderId="4" xfId="0" applyFont="1" applyBorder="1" applyAlignment="1">
      <alignment horizontal="center" vertical="center" wrapText="1"/>
    </xf>
    <xf numFmtId="0" fontId="0" fillId="0" borderId="0" xfId="0" applyFont="1" applyAlignment="1"/>
    <xf numFmtId="0" fontId="16" fillId="0" borderId="21" xfId="0" applyFont="1" applyBorder="1" applyAlignment="1">
      <alignment horizontal="left" wrapText="1"/>
    </xf>
    <xf numFmtId="0" fontId="6" fillId="0" borderId="22" xfId="0" applyFont="1" applyBorder="1"/>
    <xf numFmtId="0" fontId="17" fillId="15" borderId="3" xfId="0" applyFont="1" applyFill="1" applyBorder="1" applyAlignment="1">
      <alignment horizontal="center" vertical="center" wrapText="1"/>
    </xf>
    <xf numFmtId="0" fontId="20" fillId="18" borderId="3" xfId="0" applyFont="1" applyFill="1" applyBorder="1" applyAlignment="1">
      <alignment horizontal="center"/>
    </xf>
  </cellXfs>
  <cellStyles count="1">
    <cellStyle name="Normal" xfId="0" builtinId="0"/>
  </cellStyles>
  <dxfs count="7"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TDS-style" pivot="0" count="4" xr9:uid="{00000000-0011-0000-FFFF-FFFF00000000}">
      <tableStyleElement type="wholeTable" size="0" dxfId="3"/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523875</xdr:colOff>
      <xdr:row>0</xdr:row>
      <xdr:rowOff>114300</xdr:rowOff>
    </xdr:from>
    <xdr:ext cx="14487525" cy="34004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C30:H52">
  <tableColumns count="6">
    <tableColumn id="1" xr3:uid="{00000000-0010-0000-0000-000001000000}" name="Month"/>
    <tableColumn id="2" xr3:uid="{00000000-0010-0000-0000-000002000000}" name="Salary"/>
    <tableColumn id="3" xr3:uid="{00000000-0010-0000-0000-000003000000}" name="Incentive"/>
    <tableColumn id="4" xr3:uid="{00000000-0010-0000-0000-000004000000}" name="Total Salary"/>
    <tableColumn id="5" xr3:uid="{00000000-0010-0000-0000-000005000000}" name="TDS"/>
    <tableColumn id="6" xr3:uid="{00000000-0010-0000-0000-000006000000}" name="Total"/>
  </tableColumns>
  <tableStyleInfo name="TD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1000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14.42578125" defaultRowHeight="15" customHeight="1"/>
  <cols>
    <col min="1" max="1" width="10.7109375" customWidth="1"/>
    <col min="2" max="2" width="15" customWidth="1"/>
    <col min="3" max="3" width="26.5703125" customWidth="1"/>
    <col min="4" max="4" width="11.42578125" customWidth="1"/>
    <col min="5" max="5" width="7.7109375" customWidth="1"/>
    <col min="6" max="6" width="12.140625" customWidth="1"/>
    <col min="7" max="7" width="18.5703125" customWidth="1"/>
    <col min="8" max="8" width="31" customWidth="1"/>
    <col min="9" max="9" width="19.5703125" customWidth="1"/>
    <col min="10" max="10" width="36.42578125" customWidth="1"/>
    <col min="11" max="11" width="11.85546875" customWidth="1"/>
    <col min="12" max="12" width="13.85546875" customWidth="1"/>
    <col min="13" max="13" width="8.7109375" customWidth="1"/>
    <col min="14" max="14" width="13.140625" customWidth="1"/>
    <col min="15" max="15" width="16.140625" customWidth="1"/>
    <col min="16" max="16" width="23.5703125" customWidth="1"/>
    <col min="17" max="17" width="17.28515625" customWidth="1"/>
    <col min="18" max="18" width="14" customWidth="1"/>
    <col min="19" max="19" width="26.5703125" customWidth="1"/>
    <col min="20" max="20" width="10.85546875" customWidth="1"/>
    <col min="21" max="21" width="15.28515625" customWidth="1"/>
    <col min="22" max="22" width="34.140625" customWidth="1"/>
    <col min="23" max="23" width="9" customWidth="1"/>
    <col min="24" max="24" width="9.5703125" customWidth="1"/>
    <col min="25" max="25" width="10" customWidth="1"/>
    <col min="26" max="26" width="8" customWidth="1"/>
    <col min="27" max="27" width="14.28515625" customWidth="1"/>
    <col min="28" max="28" width="21.140625" customWidth="1"/>
    <col min="29" max="29" width="10.7109375" customWidth="1"/>
    <col min="30" max="30" width="17.28515625" customWidth="1"/>
    <col min="31" max="31" width="14.7109375" customWidth="1"/>
    <col min="32" max="33" width="17.28515625" customWidth="1"/>
    <col min="34" max="34" width="17.28515625" hidden="1" customWidth="1"/>
    <col min="35" max="35" width="17.28515625" customWidth="1"/>
    <col min="36" max="36" width="14.7109375" customWidth="1"/>
    <col min="37" max="37" width="10" customWidth="1"/>
    <col min="38" max="38" width="7.28515625" customWidth="1"/>
    <col min="39" max="39" width="16.7109375" customWidth="1"/>
    <col min="40" max="42" width="8.7109375" customWidth="1"/>
  </cols>
  <sheetData>
    <row r="1" spans="1:42" ht="14.25" customHeight="1">
      <c r="A1" s="1" t="s">
        <v>0</v>
      </c>
      <c r="AF1" s="2"/>
      <c r="AG1" s="2"/>
    </row>
    <row r="2" spans="1:42" ht="14.25" customHeight="1">
      <c r="A2" s="1" t="s">
        <v>1</v>
      </c>
      <c r="AF2" s="2"/>
      <c r="AG2" s="2"/>
    </row>
    <row r="3" spans="1:42" ht="14.25" customHeight="1">
      <c r="AF3" s="2"/>
      <c r="AG3" s="2"/>
    </row>
    <row r="4" spans="1:42" ht="14.25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3" t="s">
        <v>32</v>
      </c>
      <c r="AF4" s="4" t="s">
        <v>33</v>
      </c>
      <c r="AG4" s="4" t="s">
        <v>34</v>
      </c>
      <c r="AH4" s="3" t="s">
        <v>35</v>
      </c>
      <c r="AI4" s="3" t="s">
        <v>36</v>
      </c>
      <c r="AJ4" s="3" t="s">
        <v>37</v>
      </c>
      <c r="AK4" s="3" t="s">
        <v>38</v>
      </c>
      <c r="AL4" s="3" t="s">
        <v>39</v>
      </c>
      <c r="AM4" s="5" t="s">
        <v>40</v>
      </c>
    </row>
    <row r="5" spans="1:42" ht="14.25" customHeight="1">
      <c r="A5" s="6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8"/>
      <c r="AG5" s="8"/>
      <c r="AH5" s="7">
        <v>0</v>
      </c>
      <c r="AI5" s="7"/>
      <c r="AJ5" s="7"/>
      <c r="AK5" s="7"/>
      <c r="AL5" s="10"/>
      <c r="AM5" s="8"/>
    </row>
    <row r="6" spans="1:42" ht="14.25" customHeight="1">
      <c r="A6" s="6">
        <v>45930</v>
      </c>
      <c r="B6" s="7" t="s">
        <v>226</v>
      </c>
      <c r="C6" s="7" t="s">
        <v>227</v>
      </c>
      <c r="D6" s="7" t="s">
        <v>44</v>
      </c>
      <c r="E6" s="7" t="s">
        <v>45</v>
      </c>
      <c r="F6" s="7" t="s">
        <v>228</v>
      </c>
      <c r="G6" s="7"/>
      <c r="H6" s="7" t="s">
        <v>229</v>
      </c>
      <c r="I6" s="7" t="s">
        <v>75</v>
      </c>
      <c r="J6" s="7" t="s">
        <v>76</v>
      </c>
      <c r="K6" s="7" t="s">
        <v>50</v>
      </c>
      <c r="L6" s="7" t="s">
        <v>50</v>
      </c>
      <c r="M6" s="7"/>
      <c r="N6" s="7" t="s">
        <v>230</v>
      </c>
      <c r="O6" s="7" t="s">
        <v>231</v>
      </c>
      <c r="P6" s="7" t="s">
        <v>232</v>
      </c>
      <c r="Q6" s="7" t="s">
        <v>233</v>
      </c>
      <c r="R6" s="7" t="s">
        <v>234</v>
      </c>
      <c r="S6" s="7" t="s">
        <v>227</v>
      </c>
      <c r="T6" s="7" t="s">
        <v>56</v>
      </c>
      <c r="U6" s="7" t="s">
        <v>235</v>
      </c>
      <c r="V6" s="7" t="s">
        <v>236</v>
      </c>
      <c r="W6" s="7">
        <v>30</v>
      </c>
      <c r="X6" s="7">
        <v>0.6</v>
      </c>
      <c r="Y6" s="7">
        <f t="shared" ref="Y6:Y11" si="0">W6-X6</f>
        <v>29.4</v>
      </c>
      <c r="Z6" s="7">
        <v>33275</v>
      </c>
      <c r="AA6" s="7">
        <v>0</v>
      </c>
      <c r="AB6" s="7">
        <v>16638</v>
      </c>
      <c r="AC6" s="7">
        <v>0</v>
      </c>
      <c r="AD6" s="7">
        <v>16638</v>
      </c>
      <c r="AE6" s="7"/>
      <c r="AF6" s="8">
        <f t="shared" ref="AF6:AF11" si="1">SUM(Z6:AD6)</f>
        <v>66551</v>
      </c>
      <c r="AG6" s="8">
        <f t="shared" ref="AG6:AG11" si="2">ROUND(AF6/W6*Y6,0)</f>
        <v>65220</v>
      </c>
      <c r="AH6" s="7"/>
      <c r="AI6" s="7"/>
      <c r="AJ6" s="7">
        <v>0</v>
      </c>
      <c r="AK6" s="7">
        <v>0</v>
      </c>
      <c r="AL6" s="10">
        <v>0</v>
      </c>
      <c r="AM6" s="8">
        <f t="shared" ref="AM6:AM11" si="3">AG6-SUM(AI6:AL6)</f>
        <v>65220</v>
      </c>
      <c r="AN6" s="11">
        <v>66551</v>
      </c>
    </row>
    <row r="7" spans="1:42" ht="14.25" customHeight="1">
      <c r="A7" s="6">
        <v>45930</v>
      </c>
      <c r="B7" s="7" t="s">
        <v>237</v>
      </c>
      <c r="C7" s="7" t="s">
        <v>238</v>
      </c>
      <c r="D7" s="7" t="s">
        <v>44</v>
      </c>
      <c r="E7" s="7" t="s">
        <v>86</v>
      </c>
      <c r="F7" s="7" t="s">
        <v>239</v>
      </c>
      <c r="G7" s="6">
        <v>45930</v>
      </c>
      <c r="H7" s="7" t="s">
        <v>240</v>
      </c>
      <c r="I7" s="7" t="s">
        <v>89</v>
      </c>
      <c r="J7" s="7" t="s">
        <v>101</v>
      </c>
      <c r="K7" s="7" t="s">
        <v>50</v>
      </c>
      <c r="L7" s="7" t="s">
        <v>50</v>
      </c>
      <c r="M7" s="7"/>
      <c r="N7" s="7" t="s">
        <v>241</v>
      </c>
      <c r="O7" s="7" t="s">
        <v>242</v>
      </c>
      <c r="P7" s="7" t="s">
        <v>232</v>
      </c>
      <c r="Q7" s="7" t="s">
        <v>243</v>
      </c>
      <c r="R7" s="7" t="s">
        <v>234</v>
      </c>
      <c r="S7" s="7" t="s">
        <v>244</v>
      </c>
      <c r="T7" s="7" t="s">
        <v>56</v>
      </c>
      <c r="U7" s="7" t="s">
        <v>245</v>
      </c>
      <c r="V7" s="7" t="s">
        <v>246</v>
      </c>
      <c r="W7" s="7">
        <v>30</v>
      </c>
      <c r="X7" s="7">
        <v>0</v>
      </c>
      <c r="Y7" s="7">
        <f t="shared" si="0"/>
        <v>30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/>
      <c r="AF7" s="8">
        <f t="shared" si="1"/>
        <v>0</v>
      </c>
      <c r="AG7" s="8">
        <f t="shared" si="2"/>
        <v>0</v>
      </c>
      <c r="AH7" s="7"/>
      <c r="AI7" s="7"/>
      <c r="AJ7" s="7">
        <v>0</v>
      </c>
      <c r="AK7" s="7">
        <v>0</v>
      </c>
      <c r="AL7" s="10">
        <v>0</v>
      </c>
      <c r="AM7" s="8">
        <f t="shared" si="3"/>
        <v>0</v>
      </c>
      <c r="AP7" s="13">
        <v>23650</v>
      </c>
    </row>
    <row r="8" spans="1:42" ht="14.25" customHeight="1">
      <c r="A8" s="6">
        <v>45930</v>
      </c>
      <c r="B8" s="7" t="s">
        <v>247</v>
      </c>
      <c r="C8" s="7" t="s">
        <v>248</v>
      </c>
      <c r="D8" s="7" t="s">
        <v>44</v>
      </c>
      <c r="E8" s="7" t="s">
        <v>86</v>
      </c>
      <c r="F8" s="7" t="s">
        <v>249</v>
      </c>
      <c r="G8" s="7"/>
      <c r="H8" s="7" t="s">
        <v>250</v>
      </c>
      <c r="I8" s="7" t="s">
        <v>135</v>
      </c>
      <c r="J8" s="7" t="s">
        <v>136</v>
      </c>
      <c r="K8" s="7" t="s">
        <v>50</v>
      </c>
      <c r="L8" s="7" t="s">
        <v>50</v>
      </c>
      <c r="M8" s="7"/>
      <c r="N8" s="7" t="s">
        <v>251</v>
      </c>
      <c r="O8" s="7" t="s">
        <v>252</v>
      </c>
      <c r="P8" s="7" t="s">
        <v>232</v>
      </c>
      <c r="Q8" s="7" t="s">
        <v>253</v>
      </c>
      <c r="R8" s="7" t="s">
        <v>254</v>
      </c>
      <c r="S8" s="7" t="s">
        <v>248</v>
      </c>
      <c r="T8" s="7" t="s">
        <v>56</v>
      </c>
      <c r="U8" s="7" t="s">
        <v>255</v>
      </c>
      <c r="V8" s="7" t="s">
        <v>256</v>
      </c>
      <c r="W8" s="7">
        <v>30</v>
      </c>
      <c r="X8" s="7">
        <v>0</v>
      </c>
      <c r="Y8" s="7">
        <f t="shared" si="0"/>
        <v>30</v>
      </c>
      <c r="Z8" s="12">
        <v>22000</v>
      </c>
      <c r="AA8" s="12">
        <v>0</v>
      </c>
      <c r="AB8" s="12">
        <v>11000</v>
      </c>
      <c r="AC8" s="12">
        <v>0</v>
      </c>
      <c r="AD8" s="12">
        <v>11000</v>
      </c>
      <c r="AE8" s="12"/>
      <c r="AF8" s="8">
        <f t="shared" si="1"/>
        <v>44000</v>
      </c>
      <c r="AG8" s="8">
        <f t="shared" si="2"/>
        <v>44000</v>
      </c>
      <c r="AH8" s="7"/>
      <c r="AI8" s="7"/>
      <c r="AJ8" s="7">
        <v>0</v>
      </c>
      <c r="AK8" s="7">
        <v>0</v>
      </c>
      <c r="AL8" s="10">
        <v>0</v>
      </c>
      <c r="AM8" s="8">
        <f t="shared" si="3"/>
        <v>44000</v>
      </c>
      <c r="AN8" s="11">
        <v>39600</v>
      </c>
      <c r="AO8" s="13" t="s">
        <v>257</v>
      </c>
    </row>
    <row r="9" spans="1:42" ht="14.25" customHeight="1">
      <c r="A9" s="6">
        <v>45930</v>
      </c>
      <c r="B9" s="7" t="s">
        <v>258</v>
      </c>
      <c r="C9" s="7" t="s">
        <v>259</v>
      </c>
      <c r="D9" s="7" t="s">
        <v>260</v>
      </c>
      <c r="E9" s="7" t="s">
        <v>86</v>
      </c>
      <c r="F9" s="7" t="s">
        <v>261</v>
      </c>
      <c r="G9" s="6">
        <v>45930</v>
      </c>
      <c r="H9" s="7" t="s">
        <v>262</v>
      </c>
      <c r="I9" s="7" t="s">
        <v>89</v>
      </c>
      <c r="J9" s="7" t="s">
        <v>101</v>
      </c>
      <c r="K9" s="7" t="s">
        <v>50</v>
      </c>
      <c r="L9" s="7" t="s">
        <v>50</v>
      </c>
      <c r="M9" s="7"/>
      <c r="N9" s="7" t="s">
        <v>263</v>
      </c>
      <c r="O9" s="7" t="s">
        <v>264</v>
      </c>
      <c r="P9" s="7" t="s">
        <v>232</v>
      </c>
      <c r="Q9" s="7" t="s">
        <v>265</v>
      </c>
      <c r="R9" s="7" t="s">
        <v>234</v>
      </c>
      <c r="S9" s="7" t="s">
        <v>259</v>
      </c>
      <c r="T9" s="7" t="s">
        <v>56</v>
      </c>
      <c r="U9" s="7" t="s">
        <v>266</v>
      </c>
      <c r="V9" s="7" t="s">
        <v>267</v>
      </c>
      <c r="W9" s="7">
        <v>30</v>
      </c>
      <c r="X9" s="7">
        <v>0</v>
      </c>
      <c r="Y9" s="7">
        <f t="shared" si="0"/>
        <v>30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/>
      <c r="AF9" s="8">
        <f t="shared" si="1"/>
        <v>0</v>
      </c>
      <c r="AG9" s="8">
        <f t="shared" si="2"/>
        <v>0</v>
      </c>
      <c r="AH9" s="7"/>
      <c r="AI9" s="7"/>
      <c r="AJ9" s="7">
        <v>0</v>
      </c>
      <c r="AK9" s="7">
        <v>0</v>
      </c>
      <c r="AL9" s="10">
        <v>0</v>
      </c>
      <c r="AM9" s="8">
        <f t="shared" si="3"/>
        <v>0</v>
      </c>
      <c r="AP9" s="13">
        <v>23650</v>
      </c>
    </row>
    <row r="10" spans="1:42" ht="14.25" customHeight="1">
      <c r="A10" s="6">
        <v>45930</v>
      </c>
      <c r="B10" s="7" t="s">
        <v>268</v>
      </c>
      <c r="C10" s="7" t="s">
        <v>269</v>
      </c>
      <c r="D10" s="7" t="s">
        <v>270</v>
      </c>
      <c r="E10" s="7" t="s">
        <v>45</v>
      </c>
      <c r="F10" s="7" t="s">
        <v>271</v>
      </c>
      <c r="G10" s="7"/>
      <c r="H10" s="7" t="s">
        <v>272</v>
      </c>
      <c r="I10" s="7" t="s">
        <v>89</v>
      </c>
      <c r="J10" s="7" t="s">
        <v>101</v>
      </c>
      <c r="K10" s="7" t="s">
        <v>50</v>
      </c>
      <c r="L10" s="7" t="s">
        <v>50</v>
      </c>
      <c r="M10" s="7"/>
      <c r="N10" s="7" t="s">
        <v>273</v>
      </c>
      <c r="O10" s="7" t="s">
        <v>274</v>
      </c>
      <c r="P10" s="7" t="s">
        <v>232</v>
      </c>
      <c r="Q10" s="7" t="s">
        <v>275</v>
      </c>
      <c r="R10" s="7" t="s">
        <v>276</v>
      </c>
      <c r="S10" s="7" t="s">
        <v>269</v>
      </c>
      <c r="T10" s="7" t="s">
        <v>56</v>
      </c>
      <c r="U10" s="7" t="s">
        <v>277</v>
      </c>
      <c r="V10" s="7" t="s">
        <v>278</v>
      </c>
      <c r="W10" s="7">
        <v>30</v>
      </c>
      <c r="X10" s="7">
        <v>0</v>
      </c>
      <c r="Y10" s="7">
        <f t="shared" si="0"/>
        <v>30</v>
      </c>
      <c r="Z10" s="7">
        <v>21000</v>
      </c>
      <c r="AA10" s="7">
        <v>0</v>
      </c>
      <c r="AB10" s="7">
        <v>3200</v>
      </c>
      <c r="AC10" s="7">
        <v>0</v>
      </c>
      <c r="AD10" s="7">
        <v>0</v>
      </c>
      <c r="AE10" s="7"/>
      <c r="AF10" s="8">
        <f t="shared" si="1"/>
        <v>24200</v>
      </c>
      <c r="AG10" s="8">
        <f t="shared" si="2"/>
        <v>24200</v>
      </c>
      <c r="AH10" s="7"/>
      <c r="AI10" s="7"/>
      <c r="AJ10" s="7">
        <v>0</v>
      </c>
      <c r="AK10" s="7">
        <v>0</v>
      </c>
      <c r="AL10" s="10">
        <v>0</v>
      </c>
      <c r="AM10" s="8">
        <f t="shared" si="3"/>
        <v>24200</v>
      </c>
      <c r="AN10" s="11">
        <v>24200</v>
      </c>
    </row>
    <row r="11" spans="1:42" ht="14.25" customHeight="1">
      <c r="A11" s="6">
        <v>45930</v>
      </c>
      <c r="B11" s="7" t="s">
        <v>279</v>
      </c>
      <c r="C11" s="7" t="s">
        <v>280</v>
      </c>
      <c r="D11" s="7" t="s">
        <v>281</v>
      </c>
      <c r="E11" s="7" t="s">
        <v>45</v>
      </c>
      <c r="F11" s="7" t="s">
        <v>282</v>
      </c>
      <c r="G11" s="7"/>
      <c r="H11" s="7" t="s">
        <v>283</v>
      </c>
      <c r="I11" s="7" t="s">
        <v>219</v>
      </c>
      <c r="J11" s="7" t="s">
        <v>284</v>
      </c>
      <c r="K11" s="7" t="s">
        <v>50</v>
      </c>
      <c r="L11" s="7" t="s">
        <v>50</v>
      </c>
      <c r="M11" s="7"/>
      <c r="N11" s="7" t="s">
        <v>285</v>
      </c>
      <c r="O11" s="7" t="s">
        <v>286</v>
      </c>
      <c r="P11" s="7" t="s">
        <v>232</v>
      </c>
      <c r="Q11" s="7" t="s">
        <v>287</v>
      </c>
      <c r="R11" s="7" t="s">
        <v>234</v>
      </c>
      <c r="S11" s="7" t="s">
        <v>280</v>
      </c>
      <c r="T11" s="7" t="s">
        <v>56</v>
      </c>
      <c r="U11" s="7" t="s">
        <v>288</v>
      </c>
      <c r="V11" s="7" t="s">
        <v>289</v>
      </c>
      <c r="W11" s="7">
        <v>30</v>
      </c>
      <c r="X11" s="7">
        <v>0</v>
      </c>
      <c r="Y11" s="7">
        <f t="shared" si="0"/>
        <v>30</v>
      </c>
      <c r="Z11" s="7">
        <v>24100</v>
      </c>
      <c r="AA11" s="7">
        <v>0</v>
      </c>
      <c r="AB11" s="7">
        <v>12050</v>
      </c>
      <c r="AC11" s="7">
        <v>0</v>
      </c>
      <c r="AD11" s="7">
        <v>12050</v>
      </c>
      <c r="AE11" s="7"/>
      <c r="AF11" s="8">
        <f t="shared" si="1"/>
        <v>48200</v>
      </c>
      <c r="AG11" s="8">
        <f t="shared" si="2"/>
        <v>48200</v>
      </c>
      <c r="AH11" s="7"/>
      <c r="AI11" s="7"/>
      <c r="AJ11" s="7">
        <v>1800</v>
      </c>
      <c r="AK11" s="7">
        <v>0</v>
      </c>
      <c r="AL11" s="10">
        <v>0</v>
      </c>
      <c r="AM11" s="8">
        <f t="shared" si="3"/>
        <v>46400</v>
      </c>
      <c r="AN11" s="11">
        <v>46400</v>
      </c>
    </row>
    <row r="12" spans="1:42" ht="14.25" customHeight="1">
      <c r="A12" s="6"/>
      <c r="B12" s="7"/>
      <c r="C12" s="7"/>
      <c r="D12" s="6"/>
      <c r="E12" s="7"/>
      <c r="F12" s="6"/>
      <c r="G12" s="7"/>
      <c r="H12" s="7"/>
      <c r="I12" s="7"/>
      <c r="J12" s="7"/>
      <c r="K12" s="7"/>
      <c r="L12" s="7"/>
      <c r="M12" s="7"/>
      <c r="N12" s="7"/>
      <c r="O12" s="7"/>
      <c r="P12" s="7"/>
      <c r="Q12" s="16"/>
      <c r="R12" s="7"/>
      <c r="S12" s="7"/>
      <c r="T12" s="7"/>
      <c r="U12" s="7"/>
      <c r="V12" s="7"/>
      <c r="W12" s="7"/>
      <c r="Y12" s="7"/>
      <c r="Z12" s="7"/>
      <c r="AA12" s="7"/>
      <c r="AB12" s="7"/>
      <c r="AC12" s="7"/>
      <c r="AD12" s="7"/>
      <c r="AE12" s="7"/>
      <c r="AF12" s="8"/>
      <c r="AG12" s="8"/>
      <c r="AH12" s="13">
        <v>0</v>
      </c>
      <c r="AI12" s="7"/>
      <c r="AJ12" s="8"/>
      <c r="AK12" s="17"/>
      <c r="AL12" s="7"/>
      <c r="AM12" s="8"/>
    </row>
    <row r="13" spans="1:42" ht="14.25" customHeight="1">
      <c r="A13" s="14"/>
      <c r="B13" s="14">
        <f>COUNTA(B5:B11)</f>
        <v>6</v>
      </c>
      <c r="C13" s="14"/>
      <c r="D13" s="14"/>
      <c r="E13" s="14"/>
      <c r="F13" s="14"/>
      <c r="G13" s="14">
        <f>COUNTA(G5:G11)</f>
        <v>2</v>
      </c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 t="s">
        <v>225</v>
      </c>
      <c r="U13" s="14"/>
      <c r="V13" s="14"/>
      <c r="W13" s="14"/>
      <c r="X13" s="14"/>
      <c r="Y13" s="14"/>
      <c r="Z13" s="14">
        <f t="shared" ref="Z13:AD13" si="4">SUM(Z5:Z12)</f>
        <v>100375</v>
      </c>
      <c r="AA13" s="14">
        <f t="shared" si="4"/>
        <v>0</v>
      </c>
      <c r="AB13" s="14">
        <f t="shared" si="4"/>
        <v>42888</v>
      </c>
      <c r="AC13" s="14">
        <f t="shared" si="4"/>
        <v>0</v>
      </c>
      <c r="AD13" s="14">
        <f t="shared" si="4"/>
        <v>39688</v>
      </c>
      <c r="AE13" s="14"/>
      <c r="AF13" s="15">
        <f t="shared" ref="AF13:AG13" si="5">SUM(AF5:AF12)</f>
        <v>182951</v>
      </c>
      <c r="AG13" s="15">
        <f t="shared" si="5"/>
        <v>181620</v>
      </c>
      <c r="AH13" s="14"/>
      <c r="AI13" s="14">
        <f t="shared" ref="AI13:AM13" si="6">SUM(AI5:AI12)</f>
        <v>0</v>
      </c>
      <c r="AJ13" s="14">
        <f t="shared" si="6"/>
        <v>1800</v>
      </c>
      <c r="AK13" s="14">
        <f t="shared" si="6"/>
        <v>0</v>
      </c>
      <c r="AL13" s="14">
        <f t="shared" si="6"/>
        <v>0</v>
      </c>
      <c r="AM13" s="15">
        <f t="shared" si="6"/>
        <v>179820</v>
      </c>
      <c r="AO13" s="1"/>
    </row>
    <row r="14" spans="1:42" ht="14.25" customHeight="1">
      <c r="AF14" s="2"/>
      <c r="AG14" s="2"/>
    </row>
    <row r="15" spans="1:42" ht="14.25" customHeight="1">
      <c r="Z15" s="7">
        <v>21000</v>
      </c>
      <c r="AA15" s="7">
        <v>0</v>
      </c>
      <c r="AB15" s="7">
        <v>5000</v>
      </c>
      <c r="AC15" s="7">
        <v>0</v>
      </c>
      <c r="AD15" s="7">
        <v>0</v>
      </c>
      <c r="AE15" s="7"/>
      <c r="AF15" s="8">
        <f t="shared" ref="AF15:AF16" si="7">SUM(Z15:AD15)</f>
        <v>26000</v>
      </c>
      <c r="AG15" s="2"/>
    </row>
    <row r="16" spans="1:42" ht="14.25" customHeight="1">
      <c r="Z16" s="13">
        <v>22400</v>
      </c>
      <c r="AB16" s="13">
        <v>7600</v>
      </c>
      <c r="AF16" s="8">
        <f t="shared" si="7"/>
        <v>30000</v>
      </c>
      <c r="AG16" s="2"/>
    </row>
    <row r="17" spans="26:34" ht="14.25" customHeight="1">
      <c r="Z17" s="13">
        <f>Z15-Z16</f>
        <v>-1400</v>
      </c>
      <c r="AB17" s="13">
        <f>AB15-AB16</f>
        <v>-2600</v>
      </c>
      <c r="AF17" s="2"/>
      <c r="AG17" s="2"/>
    </row>
    <row r="18" spans="26:34" ht="14.25" customHeight="1">
      <c r="AF18" s="2"/>
      <c r="AG18" s="2"/>
      <c r="AH18" s="2"/>
    </row>
    <row r="19" spans="26:34" ht="14.25" customHeight="1">
      <c r="AF19" s="2"/>
      <c r="AG19" s="2"/>
    </row>
    <row r="20" spans="26:34" ht="14.25" customHeight="1">
      <c r="AF20" s="2"/>
      <c r="AG20" s="2"/>
    </row>
    <row r="21" spans="26:34" ht="14.25" customHeight="1">
      <c r="AF21" s="2"/>
      <c r="AG21" s="2"/>
    </row>
    <row r="22" spans="26:34" ht="14.25" customHeight="1">
      <c r="AB22" s="2"/>
      <c r="AF22" s="2"/>
      <c r="AG22" s="2"/>
    </row>
    <row r="23" spans="26:34" ht="14.25" customHeight="1">
      <c r="AB23" s="2"/>
      <c r="AF23" s="2"/>
      <c r="AG23" s="2"/>
    </row>
    <row r="24" spans="26:34" ht="14.25" customHeight="1">
      <c r="AB24" s="2"/>
      <c r="AF24" s="2"/>
      <c r="AG24" s="2"/>
    </row>
    <row r="25" spans="26:34" ht="14.25" customHeight="1">
      <c r="AB25" s="2"/>
      <c r="AF25" s="2"/>
      <c r="AG25" s="2"/>
    </row>
    <row r="26" spans="26:34" ht="14.25" customHeight="1">
      <c r="AB26" s="2"/>
      <c r="AF26" s="2"/>
      <c r="AG26" s="2"/>
    </row>
    <row r="27" spans="26:34" ht="14.25" customHeight="1">
      <c r="AB27" s="2"/>
      <c r="AF27" s="2"/>
      <c r="AG27" s="2"/>
    </row>
    <row r="28" spans="26:34" ht="14.25" customHeight="1">
      <c r="AF28" s="2"/>
      <c r="AG28" s="2"/>
    </row>
    <row r="29" spans="26:34" ht="14.25" customHeight="1">
      <c r="AF29" s="2"/>
      <c r="AG29" s="2"/>
    </row>
    <row r="30" spans="26:34" ht="14.25" customHeight="1">
      <c r="AF30" s="2"/>
      <c r="AG30" s="2"/>
    </row>
    <row r="31" spans="26:34" ht="14.25" customHeight="1">
      <c r="AF31" s="2"/>
      <c r="AG31" s="2"/>
    </row>
    <row r="32" spans="26:34" ht="14.25" customHeight="1">
      <c r="AF32" s="2"/>
      <c r="AG32" s="2"/>
    </row>
    <row r="33" spans="32:33" ht="14.25" customHeight="1">
      <c r="AF33" s="2"/>
      <c r="AG33" s="2"/>
    </row>
    <row r="34" spans="32:33" ht="14.25" customHeight="1">
      <c r="AF34" s="2"/>
      <c r="AG34" s="2"/>
    </row>
    <row r="35" spans="32:33" ht="14.25" customHeight="1">
      <c r="AF35" s="2"/>
      <c r="AG35" s="2"/>
    </row>
    <row r="36" spans="32:33" ht="14.25" customHeight="1">
      <c r="AF36" s="2"/>
      <c r="AG36" s="2"/>
    </row>
    <row r="37" spans="32:33" ht="14.25" customHeight="1">
      <c r="AF37" s="2"/>
      <c r="AG37" s="2"/>
    </row>
    <row r="38" spans="32:33" ht="14.25" customHeight="1">
      <c r="AF38" s="2"/>
      <c r="AG38" s="2"/>
    </row>
    <row r="39" spans="32:33" ht="14.25" customHeight="1">
      <c r="AF39" s="2"/>
      <c r="AG39" s="2"/>
    </row>
    <row r="40" spans="32:33" ht="14.25" customHeight="1">
      <c r="AF40" s="2"/>
      <c r="AG40" s="2"/>
    </row>
    <row r="41" spans="32:33" ht="14.25" customHeight="1">
      <c r="AF41" s="2"/>
      <c r="AG41" s="2"/>
    </row>
    <row r="42" spans="32:33" ht="14.25" customHeight="1">
      <c r="AF42" s="2"/>
      <c r="AG42" s="2"/>
    </row>
    <row r="43" spans="32:33" ht="14.25" customHeight="1">
      <c r="AF43" s="2"/>
      <c r="AG43" s="2"/>
    </row>
    <row r="44" spans="32:33" ht="14.25" customHeight="1">
      <c r="AF44" s="2"/>
      <c r="AG44" s="2"/>
    </row>
    <row r="45" spans="32:33" ht="14.25" customHeight="1">
      <c r="AF45" s="2"/>
      <c r="AG45" s="2"/>
    </row>
    <row r="46" spans="32:33" ht="14.25" customHeight="1">
      <c r="AF46" s="2"/>
      <c r="AG46" s="2"/>
    </row>
    <row r="47" spans="32:33" ht="14.25" customHeight="1">
      <c r="AF47" s="2"/>
      <c r="AG47" s="2"/>
    </row>
    <row r="48" spans="32:33" ht="14.25" customHeight="1">
      <c r="AF48" s="2"/>
      <c r="AG48" s="2"/>
    </row>
    <row r="49" spans="32:33" ht="14.25" customHeight="1">
      <c r="AF49" s="2"/>
      <c r="AG49" s="2"/>
    </row>
    <row r="50" spans="32:33" ht="14.25" customHeight="1">
      <c r="AF50" s="2"/>
      <c r="AG50" s="2"/>
    </row>
    <row r="51" spans="32:33" ht="14.25" customHeight="1">
      <c r="AF51" s="2"/>
      <c r="AG51" s="2"/>
    </row>
    <row r="52" spans="32:33" ht="14.25" customHeight="1">
      <c r="AF52" s="2"/>
      <c r="AG52" s="2"/>
    </row>
    <row r="53" spans="32:33" ht="14.25" customHeight="1">
      <c r="AF53" s="2"/>
      <c r="AG53" s="2"/>
    </row>
    <row r="54" spans="32:33" ht="14.25" customHeight="1">
      <c r="AF54" s="2"/>
      <c r="AG54" s="2"/>
    </row>
    <row r="55" spans="32:33" ht="14.25" customHeight="1">
      <c r="AF55" s="2"/>
      <c r="AG55" s="2"/>
    </row>
    <row r="56" spans="32:33" ht="14.25" customHeight="1">
      <c r="AF56" s="2"/>
      <c r="AG56" s="2"/>
    </row>
    <row r="57" spans="32:33" ht="14.25" customHeight="1">
      <c r="AF57" s="2"/>
      <c r="AG57" s="2"/>
    </row>
    <row r="58" spans="32:33" ht="14.25" customHeight="1">
      <c r="AF58" s="2"/>
      <c r="AG58" s="2"/>
    </row>
    <row r="59" spans="32:33" ht="14.25" customHeight="1">
      <c r="AF59" s="2"/>
      <c r="AG59" s="2"/>
    </row>
    <row r="60" spans="32:33" ht="14.25" customHeight="1">
      <c r="AF60" s="2"/>
      <c r="AG60" s="2"/>
    </row>
    <row r="61" spans="32:33" ht="14.25" customHeight="1">
      <c r="AF61" s="2"/>
      <c r="AG61" s="2"/>
    </row>
    <row r="62" spans="32:33" ht="14.25" customHeight="1">
      <c r="AF62" s="2"/>
      <c r="AG62" s="2"/>
    </row>
    <row r="63" spans="32:33" ht="14.25" customHeight="1">
      <c r="AF63" s="2"/>
      <c r="AG63" s="2"/>
    </row>
    <row r="64" spans="32:33" ht="14.25" customHeight="1">
      <c r="AF64" s="2"/>
      <c r="AG64" s="2"/>
    </row>
    <row r="65" spans="32:33" ht="14.25" customHeight="1">
      <c r="AF65" s="2"/>
      <c r="AG65" s="2"/>
    </row>
    <row r="66" spans="32:33" ht="14.25" customHeight="1">
      <c r="AF66" s="2"/>
      <c r="AG66" s="2"/>
    </row>
    <row r="67" spans="32:33" ht="14.25" customHeight="1">
      <c r="AF67" s="2"/>
      <c r="AG67" s="2"/>
    </row>
    <row r="68" spans="32:33" ht="14.25" customHeight="1">
      <c r="AF68" s="2"/>
      <c r="AG68" s="2"/>
    </row>
    <row r="69" spans="32:33" ht="14.25" customHeight="1">
      <c r="AF69" s="2"/>
      <c r="AG69" s="2"/>
    </row>
    <row r="70" spans="32:33" ht="14.25" customHeight="1">
      <c r="AF70" s="2"/>
      <c r="AG70" s="2"/>
    </row>
    <row r="71" spans="32:33" ht="14.25" customHeight="1">
      <c r="AF71" s="2"/>
      <c r="AG71" s="2"/>
    </row>
    <row r="72" spans="32:33" ht="14.25" customHeight="1">
      <c r="AF72" s="2"/>
      <c r="AG72" s="2"/>
    </row>
    <row r="73" spans="32:33" ht="14.25" customHeight="1">
      <c r="AF73" s="2"/>
      <c r="AG73" s="2"/>
    </row>
    <row r="74" spans="32:33" ht="14.25" customHeight="1">
      <c r="AF74" s="2"/>
      <c r="AG74" s="2"/>
    </row>
    <row r="75" spans="32:33" ht="14.25" customHeight="1">
      <c r="AF75" s="2"/>
      <c r="AG75" s="2"/>
    </row>
    <row r="76" spans="32:33" ht="14.25" customHeight="1">
      <c r="AF76" s="2"/>
      <c r="AG76" s="2"/>
    </row>
    <row r="77" spans="32:33" ht="14.25" customHeight="1">
      <c r="AF77" s="2"/>
      <c r="AG77" s="2"/>
    </row>
    <row r="78" spans="32:33" ht="14.25" customHeight="1">
      <c r="AF78" s="2"/>
      <c r="AG78" s="2"/>
    </row>
    <row r="79" spans="32:33" ht="14.25" customHeight="1">
      <c r="AF79" s="2"/>
      <c r="AG79" s="2"/>
    </row>
    <row r="80" spans="32:33" ht="14.25" customHeight="1">
      <c r="AF80" s="2"/>
      <c r="AG80" s="2"/>
    </row>
    <row r="81" spans="32:33" ht="14.25" customHeight="1">
      <c r="AF81" s="2"/>
      <c r="AG81" s="2"/>
    </row>
    <row r="82" spans="32:33" ht="14.25" customHeight="1">
      <c r="AF82" s="2"/>
      <c r="AG82" s="2"/>
    </row>
    <row r="83" spans="32:33" ht="14.25" customHeight="1">
      <c r="AF83" s="2"/>
      <c r="AG83" s="2"/>
    </row>
    <row r="84" spans="32:33" ht="14.25" customHeight="1">
      <c r="AF84" s="2"/>
      <c r="AG84" s="2"/>
    </row>
    <row r="85" spans="32:33" ht="14.25" customHeight="1">
      <c r="AF85" s="2"/>
      <c r="AG85" s="2"/>
    </row>
    <row r="86" spans="32:33" ht="14.25" customHeight="1">
      <c r="AF86" s="2"/>
      <c r="AG86" s="2"/>
    </row>
    <row r="87" spans="32:33" ht="14.25" customHeight="1">
      <c r="AF87" s="2"/>
      <c r="AG87" s="2"/>
    </row>
    <row r="88" spans="32:33" ht="14.25" customHeight="1">
      <c r="AF88" s="2"/>
      <c r="AG88" s="2"/>
    </row>
    <row r="89" spans="32:33" ht="14.25" customHeight="1">
      <c r="AF89" s="2"/>
      <c r="AG89" s="2"/>
    </row>
    <row r="90" spans="32:33" ht="14.25" customHeight="1">
      <c r="AF90" s="2"/>
      <c r="AG90" s="2"/>
    </row>
    <row r="91" spans="32:33" ht="14.25" customHeight="1">
      <c r="AF91" s="2"/>
      <c r="AG91" s="2"/>
    </row>
    <row r="92" spans="32:33" ht="14.25" customHeight="1">
      <c r="AF92" s="2"/>
      <c r="AG92" s="2"/>
    </row>
    <row r="93" spans="32:33" ht="14.25" customHeight="1">
      <c r="AF93" s="2"/>
      <c r="AG93" s="2"/>
    </row>
    <row r="94" spans="32:33" ht="14.25" customHeight="1">
      <c r="AF94" s="2"/>
      <c r="AG94" s="2"/>
    </row>
    <row r="95" spans="32:33" ht="14.25" customHeight="1">
      <c r="AF95" s="2"/>
      <c r="AG95" s="2"/>
    </row>
    <row r="96" spans="32:33" ht="14.25" customHeight="1">
      <c r="AF96" s="2"/>
      <c r="AG96" s="2"/>
    </row>
    <row r="97" spans="32:33" ht="14.25" customHeight="1">
      <c r="AF97" s="2"/>
      <c r="AG97" s="2"/>
    </row>
    <row r="98" spans="32:33" ht="14.25" customHeight="1">
      <c r="AF98" s="2"/>
      <c r="AG98" s="2"/>
    </row>
    <row r="99" spans="32:33" ht="14.25" customHeight="1">
      <c r="AF99" s="2"/>
      <c r="AG99" s="2"/>
    </row>
    <row r="100" spans="32:33" ht="14.25" customHeight="1">
      <c r="AF100" s="2"/>
      <c r="AG100" s="2"/>
    </row>
    <row r="101" spans="32:33" ht="14.25" customHeight="1">
      <c r="AF101" s="2"/>
      <c r="AG101" s="2"/>
    </row>
    <row r="102" spans="32:33" ht="14.25" customHeight="1">
      <c r="AF102" s="2"/>
      <c r="AG102" s="2"/>
    </row>
    <row r="103" spans="32:33" ht="14.25" customHeight="1">
      <c r="AF103" s="2"/>
      <c r="AG103" s="2"/>
    </row>
    <row r="104" spans="32:33" ht="14.25" customHeight="1">
      <c r="AF104" s="2"/>
      <c r="AG104" s="2"/>
    </row>
    <row r="105" spans="32:33" ht="14.25" customHeight="1">
      <c r="AF105" s="2"/>
      <c r="AG105" s="2"/>
    </row>
    <row r="106" spans="32:33" ht="14.25" customHeight="1">
      <c r="AF106" s="2"/>
      <c r="AG106" s="2"/>
    </row>
    <row r="107" spans="32:33" ht="14.25" customHeight="1">
      <c r="AF107" s="2"/>
      <c r="AG107" s="2"/>
    </row>
    <row r="108" spans="32:33" ht="14.25" customHeight="1">
      <c r="AF108" s="2"/>
      <c r="AG108" s="2"/>
    </row>
    <row r="109" spans="32:33" ht="14.25" customHeight="1">
      <c r="AF109" s="2"/>
      <c r="AG109" s="2"/>
    </row>
    <row r="110" spans="32:33" ht="14.25" customHeight="1">
      <c r="AF110" s="2"/>
      <c r="AG110" s="2"/>
    </row>
    <row r="111" spans="32:33" ht="14.25" customHeight="1">
      <c r="AF111" s="2"/>
      <c r="AG111" s="2"/>
    </row>
    <row r="112" spans="32:33" ht="14.25" customHeight="1">
      <c r="AF112" s="2"/>
      <c r="AG112" s="2"/>
    </row>
    <row r="113" spans="32:33" ht="14.25" customHeight="1">
      <c r="AF113" s="2"/>
      <c r="AG113" s="2"/>
    </row>
    <row r="114" spans="32:33" ht="14.25" customHeight="1">
      <c r="AF114" s="2"/>
      <c r="AG114" s="2"/>
    </row>
    <row r="115" spans="32:33" ht="14.25" customHeight="1">
      <c r="AF115" s="2"/>
      <c r="AG115" s="2"/>
    </row>
    <row r="116" spans="32:33" ht="14.25" customHeight="1">
      <c r="AF116" s="2"/>
      <c r="AG116" s="2"/>
    </row>
    <row r="117" spans="32:33" ht="14.25" customHeight="1">
      <c r="AF117" s="2"/>
      <c r="AG117" s="2"/>
    </row>
    <row r="118" spans="32:33" ht="14.25" customHeight="1">
      <c r="AF118" s="2"/>
      <c r="AG118" s="2"/>
    </row>
    <row r="119" spans="32:33" ht="14.25" customHeight="1">
      <c r="AF119" s="2"/>
      <c r="AG119" s="2"/>
    </row>
    <row r="120" spans="32:33" ht="14.25" customHeight="1">
      <c r="AF120" s="2"/>
      <c r="AG120" s="2"/>
    </row>
    <row r="121" spans="32:33" ht="14.25" customHeight="1">
      <c r="AF121" s="2"/>
      <c r="AG121" s="2"/>
    </row>
    <row r="122" spans="32:33" ht="14.25" customHeight="1">
      <c r="AF122" s="2"/>
      <c r="AG122" s="2"/>
    </row>
    <row r="123" spans="32:33" ht="14.25" customHeight="1">
      <c r="AF123" s="2"/>
      <c r="AG123" s="2"/>
    </row>
    <row r="124" spans="32:33" ht="14.25" customHeight="1">
      <c r="AF124" s="2"/>
      <c r="AG124" s="2"/>
    </row>
    <row r="125" spans="32:33" ht="14.25" customHeight="1">
      <c r="AF125" s="2"/>
      <c r="AG125" s="2"/>
    </row>
    <row r="126" spans="32:33" ht="14.25" customHeight="1">
      <c r="AF126" s="2"/>
      <c r="AG126" s="2"/>
    </row>
    <row r="127" spans="32:33" ht="14.25" customHeight="1">
      <c r="AF127" s="2"/>
      <c r="AG127" s="2"/>
    </row>
    <row r="128" spans="32:33" ht="14.25" customHeight="1">
      <c r="AF128" s="2"/>
      <c r="AG128" s="2"/>
    </row>
    <row r="129" spans="32:33" ht="14.25" customHeight="1">
      <c r="AF129" s="2"/>
      <c r="AG129" s="2"/>
    </row>
    <row r="130" spans="32:33" ht="14.25" customHeight="1">
      <c r="AF130" s="2"/>
      <c r="AG130" s="2"/>
    </row>
    <row r="131" spans="32:33" ht="14.25" customHeight="1">
      <c r="AF131" s="2"/>
      <c r="AG131" s="2"/>
    </row>
    <row r="132" spans="32:33" ht="14.25" customHeight="1">
      <c r="AF132" s="2"/>
      <c r="AG132" s="2"/>
    </row>
    <row r="133" spans="32:33" ht="14.25" customHeight="1">
      <c r="AF133" s="2"/>
      <c r="AG133" s="2"/>
    </row>
    <row r="134" spans="32:33" ht="14.25" customHeight="1">
      <c r="AF134" s="2"/>
      <c r="AG134" s="2"/>
    </row>
    <row r="135" spans="32:33" ht="14.25" customHeight="1">
      <c r="AF135" s="2"/>
      <c r="AG135" s="2"/>
    </row>
    <row r="136" spans="32:33" ht="14.25" customHeight="1">
      <c r="AF136" s="2"/>
      <c r="AG136" s="2"/>
    </row>
    <row r="137" spans="32:33" ht="14.25" customHeight="1">
      <c r="AF137" s="2"/>
      <c r="AG137" s="2"/>
    </row>
    <row r="138" spans="32:33" ht="14.25" customHeight="1">
      <c r="AF138" s="2"/>
      <c r="AG138" s="2"/>
    </row>
    <row r="139" spans="32:33" ht="14.25" customHeight="1">
      <c r="AF139" s="2"/>
      <c r="AG139" s="2"/>
    </row>
    <row r="140" spans="32:33" ht="14.25" customHeight="1">
      <c r="AF140" s="2"/>
      <c r="AG140" s="2"/>
    </row>
    <row r="141" spans="32:33" ht="14.25" customHeight="1">
      <c r="AF141" s="2"/>
      <c r="AG141" s="2"/>
    </row>
    <row r="142" spans="32:33" ht="14.25" customHeight="1">
      <c r="AF142" s="2"/>
      <c r="AG142" s="2"/>
    </row>
    <row r="143" spans="32:33" ht="14.25" customHeight="1">
      <c r="AF143" s="2"/>
      <c r="AG143" s="2"/>
    </row>
    <row r="144" spans="32:33" ht="14.25" customHeight="1">
      <c r="AF144" s="2"/>
      <c r="AG144" s="2"/>
    </row>
    <row r="145" spans="32:33" ht="14.25" customHeight="1">
      <c r="AF145" s="2"/>
      <c r="AG145" s="2"/>
    </row>
    <row r="146" spans="32:33" ht="14.25" customHeight="1">
      <c r="AF146" s="2"/>
      <c r="AG146" s="2"/>
    </row>
    <row r="147" spans="32:33" ht="14.25" customHeight="1">
      <c r="AF147" s="2"/>
      <c r="AG147" s="2"/>
    </row>
    <row r="148" spans="32:33" ht="14.25" customHeight="1">
      <c r="AF148" s="2"/>
      <c r="AG148" s="2"/>
    </row>
    <row r="149" spans="32:33" ht="14.25" customHeight="1">
      <c r="AF149" s="2"/>
      <c r="AG149" s="2"/>
    </row>
    <row r="150" spans="32:33" ht="14.25" customHeight="1">
      <c r="AF150" s="2"/>
      <c r="AG150" s="2"/>
    </row>
    <row r="151" spans="32:33" ht="14.25" customHeight="1">
      <c r="AF151" s="2"/>
      <c r="AG151" s="2"/>
    </row>
    <row r="152" spans="32:33" ht="14.25" customHeight="1">
      <c r="AF152" s="2"/>
      <c r="AG152" s="2"/>
    </row>
    <row r="153" spans="32:33" ht="14.25" customHeight="1">
      <c r="AF153" s="2"/>
      <c r="AG153" s="2"/>
    </row>
    <row r="154" spans="32:33" ht="14.25" customHeight="1">
      <c r="AF154" s="2"/>
      <c r="AG154" s="2"/>
    </row>
    <row r="155" spans="32:33" ht="14.25" customHeight="1">
      <c r="AF155" s="2"/>
      <c r="AG155" s="2"/>
    </row>
    <row r="156" spans="32:33" ht="14.25" customHeight="1">
      <c r="AF156" s="2"/>
      <c r="AG156" s="2"/>
    </row>
    <row r="157" spans="32:33" ht="14.25" customHeight="1">
      <c r="AF157" s="2"/>
      <c r="AG157" s="2"/>
    </row>
    <row r="158" spans="32:33" ht="14.25" customHeight="1">
      <c r="AF158" s="2"/>
      <c r="AG158" s="2"/>
    </row>
    <row r="159" spans="32:33" ht="14.25" customHeight="1">
      <c r="AF159" s="2"/>
      <c r="AG159" s="2"/>
    </row>
    <row r="160" spans="32:33" ht="14.25" customHeight="1">
      <c r="AF160" s="2"/>
      <c r="AG160" s="2"/>
    </row>
    <row r="161" spans="32:33" ht="14.25" customHeight="1">
      <c r="AF161" s="2"/>
      <c r="AG161" s="2"/>
    </row>
    <row r="162" spans="32:33" ht="14.25" customHeight="1">
      <c r="AF162" s="2"/>
      <c r="AG162" s="2"/>
    </row>
    <row r="163" spans="32:33" ht="14.25" customHeight="1">
      <c r="AF163" s="2"/>
      <c r="AG163" s="2"/>
    </row>
    <row r="164" spans="32:33" ht="14.25" customHeight="1">
      <c r="AF164" s="2"/>
      <c r="AG164" s="2"/>
    </row>
    <row r="165" spans="32:33" ht="14.25" customHeight="1">
      <c r="AF165" s="2"/>
      <c r="AG165" s="2"/>
    </row>
    <row r="166" spans="32:33" ht="14.25" customHeight="1">
      <c r="AF166" s="2"/>
      <c r="AG166" s="2"/>
    </row>
    <row r="167" spans="32:33" ht="14.25" customHeight="1">
      <c r="AF167" s="2"/>
      <c r="AG167" s="2"/>
    </row>
    <row r="168" spans="32:33" ht="14.25" customHeight="1">
      <c r="AF168" s="2"/>
      <c r="AG168" s="2"/>
    </row>
    <row r="169" spans="32:33" ht="14.25" customHeight="1">
      <c r="AF169" s="2"/>
      <c r="AG169" s="2"/>
    </row>
    <row r="170" spans="32:33" ht="14.25" customHeight="1">
      <c r="AF170" s="2"/>
      <c r="AG170" s="2"/>
    </row>
    <row r="171" spans="32:33" ht="14.25" customHeight="1">
      <c r="AF171" s="2"/>
      <c r="AG171" s="2"/>
    </row>
    <row r="172" spans="32:33" ht="14.25" customHeight="1">
      <c r="AF172" s="2"/>
      <c r="AG172" s="2"/>
    </row>
    <row r="173" spans="32:33" ht="14.25" customHeight="1">
      <c r="AF173" s="2"/>
      <c r="AG173" s="2"/>
    </row>
    <row r="174" spans="32:33" ht="14.25" customHeight="1">
      <c r="AF174" s="2"/>
      <c r="AG174" s="2"/>
    </row>
    <row r="175" spans="32:33" ht="14.25" customHeight="1">
      <c r="AF175" s="2"/>
      <c r="AG175" s="2"/>
    </row>
    <row r="176" spans="32:33" ht="14.25" customHeight="1">
      <c r="AF176" s="2"/>
      <c r="AG176" s="2"/>
    </row>
    <row r="177" spans="32:33" ht="14.25" customHeight="1">
      <c r="AF177" s="2"/>
      <c r="AG177" s="2"/>
    </row>
    <row r="178" spans="32:33" ht="14.25" customHeight="1">
      <c r="AF178" s="2"/>
      <c r="AG178" s="2"/>
    </row>
    <row r="179" spans="32:33" ht="14.25" customHeight="1">
      <c r="AF179" s="2"/>
      <c r="AG179" s="2"/>
    </row>
    <row r="180" spans="32:33" ht="14.25" customHeight="1">
      <c r="AF180" s="2"/>
      <c r="AG180" s="2"/>
    </row>
    <row r="181" spans="32:33" ht="14.25" customHeight="1">
      <c r="AF181" s="2"/>
      <c r="AG181" s="2"/>
    </row>
    <row r="182" spans="32:33" ht="14.25" customHeight="1">
      <c r="AF182" s="2"/>
      <c r="AG182" s="2"/>
    </row>
    <row r="183" spans="32:33" ht="14.25" customHeight="1">
      <c r="AF183" s="2"/>
      <c r="AG183" s="2"/>
    </row>
    <row r="184" spans="32:33" ht="14.25" customHeight="1">
      <c r="AF184" s="2"/>
      <c r="AG184" s="2"/>
    </row>
    <row r="185" spans="32:33" ht="14.25" customHeight="1">
      <c r="AF185" s="2"/>
      <c r="AG185" s="2"/>
    </row>
    <row r="186" spans="32:33" ht="14.25" customHeight="1">
      <c r="AF186" s="2"/>
      <c r="AG186" s="2"/>
    </row>
    <row r="187" spans="32:33" ht="14.25" customHeight="1">
      <c r="AF187" s="2"/>
      <c r="AG187" s="2"/>
    </row>
    <row r="188" spans="32:33" ht="14.25" customHeight="1">
      <c r="AF188" s="2"/>
      <c r="AG188" s="2"/>
    </row>
    <row r="189" spans="32:33" ht="14.25" customHeight="1">
      <c r="AF189" s="2"/>
      <c r="AG189" s="2"/>
    </row>
    <row r="190" spans="32:33" ht="14.25" customHeight="1">
      <c r="AF190" s="2"/>
      <c r="AG190" s="2"/>
    </row>
    <row r="191" spans="32:33" ht="14.25" customHeight="1">
      <c r="AF191" s="2"/>
      <c r="AG191" s="2"/>
    </row>
    <row r="192" spans="32:33" ht="14.25" customHeight="1">
      <c r="AF192" s="2"/>
      <c r="AG192" s="2"/>
    </row>
    <row r="193" spans="32:33" ht="14.25" customHeight="1">
      <c r="AF193" s="2"/>
      <c r="AG193" s="2"/>
    </row>
    <row r="194" spans="32:33" ht="14.25" customHeight="1">
      <c r="AF194" s="2"/>
      <c r="AG194" s="2"/>
    </row>
    <row r="195" spans="32:33" ht="14.25" customHeight="1">
      <c r="AF195" s="2"/>
      <c r="AG195" s="2"/>
    </row>
    <row r="196" spans="32:33" ht="14.25" customHeight="1">
      <c r="AF196" s="2"/>
      <c r="AG196" s="2"/>
    </row>
    <row r="197" spans="32:33" ht="14.25" customHeight="1">
      <c r="AF197" s="2"/>
      <c r="AG197" s="2"/>
    </row>
    <row r="198" spans="32:33" ht="14.25" customHeight="1">
      <c r="AF198" s="2"/>
      <c r="AG198" s="2"/>
    </row>
    <row r="199" spans="32:33" ht="14.25" customHeight="1">
      <c r="AF199" s="2"/>
      <c r="AG199" s="2"/>
    </row>
    <row r="200" spans="32:33" ht="14.25" customHeight="1">
      <c r="AF200" s="2"/>
      <c r="AG200" s="2"/>
    </row>
    <row r="201" spans="32:33" ht="14.25" customHeight="1">
      <c r="AF201" s="2"/>
      <c r="AG201" s="2"/>
    </row>
    <row r="202" spans="32:33" ht="14.25" customHeight="1">
      <c r="AF202" s="2"/>
      <c r="AG202" s="2"/>
    </row>
    <row r="203" spans="32:33" ht="14.25" customHeight="1">
      <c r="AF203" s="2"/>
      <c r="AG203" s="2"/>
    </row>
    <row r="204" spans="32:33" ht="14.25" customHeight="1">
      <c r="AF204" s="2"/>
      <c r="AG204" s="2"/>
    </row>
    <row r="205" spans="32:33" ht="14.25" customHeight="1">
      <c r="AF205" s="2"/>
      <c r="AG205" s="2"/>
    </row>
    <row r="206" spans="32:33" ht="14.25" customHeight="1">
      <c r="AF206" s="2"/>
      <c r="AG206" s="2"/>
    </row>
    <row r="207" spans="32:33" ht="14.25" customHeight="1">
      <c r="AF207" s="2"/>
      <c r="AG207" s="2"/>
    </row>
    <row r="208" spans="32:33" ht="14.25" customHeight="1">
      <c r="AF208" s="2"/>
      <c r="AG208" s="2"/>
    </row>
    <row r="209" spans="32:33" ht="14.25" customHeight="1">
      <c r="AF209" s="2"/>
      <c r="AG209" s="2"/>
    </row>
    <row r="210" spans="32:33" ht="14.25" customHeight="1">
      <c r="AF210" s="2"/>
      <c r="AG210" s="2"/>
    </row>
    <row r="211" spans="32:33" ht="14.25" customHeight="1">
      <c r="AF211" s="2"/>
      <c r="AG211" s="2"/>
    </row>
    <row r="212" spans="32:33" ht="14.25" customHeight="1">
      <c r="AF212" s="2"/>
      <c r="AG212" s="2"/>
    </row>
    <row r="213" spans="32:33" ht="14.25" customHeight="1">
      <c r="AF213" s="2"/>
      <c r="AG213" s="2"/>
    </row>
    <row r="214" spans="32:33" ht="14.25" customHeight="1">
      <c r="AF214" s="2"/>
      <c r="AG214" s="2"/>
    </row>
    <row r="215" spans="32:33" ht="14.25" customHeight="1">
      <c r="AF215" s="2"/>
      <c r="AG215" s="2"/>
    </row>
    <row r="216" spans="32:33" ht="14.25" customHeight="1">
      <c r="AF216" s="2"/>
      <c r="AG216" s="2"/>
    </row>
    <row r="217" spans="32:33" ht="14.25" customHeight="1">
      <c r="AF217" s="2"/>
      <c r="AG217" s="2"/>
    </row>
    <row r="218" spans="32:33" ht="14.25" customHeight="1">
      <c r="AF218" s="2"/>
      <c r="AG218" s="2"/>
    </row>
    <row r="219" spans="32:33" ht="14.25" customHeight="1">
      <c r="AF219" s="2"/>
      <c r="AG219" s="2"/>
    </row>
    <row r="220" spans="32:33" ht="14.25" customHeight="1">
      <c r="AF220" s="2"/>
      <c r="AG220" s="2"/>
    </row>
    <row r="221" spans="32:33" ht="15.75" customHeight="1"/>
    <row r="222" spans="32:33" ht="15.75" customHeight="1"/>
    <row r="223" spans="32:33" ht="15.75" customHeight="1"/>
    <row r="224" spans="32:33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4:AL13" xr:uid="{00000000-0009-0000-0000-000001000000}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999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D5" sqref="D5"/>
    </sheetView>
  </sheetViews>
  <sheetFormatPr defaultColWidth="14.42578125" defaultRowHeight="15" customHeight="1"/>
  <cols>
    <col min="1" max="1" width="20.85546875" customWidth="1"/>
    <col min="2" max="2" width="15" customWidth="1"/>
    <col min="3" max="3" width="26.5703125" customWidth="1"/>
    <col min="4" max="4" width="14.42578125" customWidth="1"/>
    <col min="5" max="5" width="9.7109375" customWidth="1"/>
    <col min="6" max="6" width="15.28515625" customWidth="1"/>
    <col min="7" max="7" width="18.5703125" customWidth="1"/>
    <col min="8" max="8" width="31" customWidth="1"/>
    <col min="9" max="9" width="19.5703125" customWidth="1"/>
    <col min="10" max="10" width="36.42578125" customWidth="1"/>
    <col min="11" max="11" width="11.85546875" customWidth="1"/>
    <col min="12" max="12" width="13.85546875" customWidth="1"/>
    <col min="13" max="13" width="8.7109375" customWidth="1"/>
    <col min="14" max="14" width="13.140625" customWidth="1"/>
    <col min="15" max="15" width="16.140625" customWidth="1"/>
    <col min="16" max="16" width="23.5703125" customWidth="1"/>
    <col min="17" max="17" width="20" customWidth="1"/>
    <col min="18" max="18" width="14" customWidth="1"/>
    <col min="19" max="19" width="26.5703125" customWidth="1"/>
    <col min="20" max="20" width="10.85546875" customWidth="1"/>
    <col min="21" max="21" width="15.28515625" customWidth="1"/>
    <col min="22" max="22" width="34.140625" customWidth="1"/>
    <col min="23" max="23" width="9" customWidth="1"/>
    <col min="24" max="24" width="11.5703125" customWidth="1"/>
    <col min="25" max="25" width="12.5703125" customWidth="1"/>
    <col min="26" max="26" width="15" customWidth="1"/>
    <col min="27" max="27" width="14.28515625" hidden="1" customWidth="1"/>
    <col min="28" max="28" width="21.140625" customWidth="1"/>
    <col min="29" max="29" width="10.7109375" hidden="1" customWidth="1"/>
    <col min="30" max="30" width="17.28515625" customWidth="1"/>
    <col min="31" max="31" width="15.5703125" customWidth="1"/>
    <col min="32" max="32" width="14.85546875" customWidth="1"/>
    <col min="33" max="34" width="17.28515625" customWidth="1"/>
    <col min="35" max="35" width="16.42578125" customWidth="1"/>
    <col min="36" max="36" width="18.7109375" customWidth="1"/>
    <col min="37" max="37" width="7.28515625" customWidth="1"/>
    <col min="38" max="38" width="16.7109375" customWidth="1"/>
    <col min="39" max="39" width="8.7109375" customWidth="1"/>
    <col min="40" max="40" width="9.7109375" customWidth="1"/>
    <col min="41" max="42" width="8.7109375" customWidth="1"/>
  </cols>
  <sheetData>
    <row r="1" spans="1:40" ht="14.25" customHeight="1">
      <c r="A1" s="1" t="s">
        <v>0</v>
      </c>
      <c r="C1" s="18"/>
      <c r="X1" s="18"/>
      <c r="AE1" s="2"/>
      <c r="AF1" s="2"/>
      <c r="AL1" s="2"/>
    </row>
    <row r="2" spans="1:40" ht="14.25" customHeight="1">
      <c r="A2" s="19" t="s">
        <v>290</v>
      </c>
      <c r="C2" s="18"/>
      <c r="X2" s="18"/>
      <c r="AE2" s="2"/>
      <c r="AF2" s="2"/>
      <c r="AL2" s="2"/>
    </row>
    <row r="3" spans="1:40" ht="14.25" customHeight="1">
      <c r="C3" s="18"/>
      <c r="P3" s="2">
        <f>AL3</f>
        <v>2693023.3531666668</v>
      </c>
      <c r="Q3" s="20">
        <v>874538</v>
      </c>
      <c r="R3" s="21">
        <f>P3-Q3</f>
        <v>1818485.3531666668</v>
      </c>
      <c r="X3" s="18"/>
      <c r="AE3" s="2">
        <f>SUM(AE5:AE57)</f>
        <v>2814163</v>
      </c>
      <c r="AF3" s="2"/>
      <c r="AL3" s="2">
        <f>SUBTOTAL(9,AL5:AL58)</f>
        <v>2693023.3531666668</v>
      </c>
    </row>
    <row r="4" spans="1:40" ht="14.25" customHeight="1">
      <c r="A4" s="3" t="s">
        <v>2</v>
      </c>
      <c r="B4" s="3" t="s">
        <v>3</v>
      </c>
      <c r="C4" s="22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22" t="s">
        <v>25</v>
      </c>
      <c r="Y4" s="3" t="s">
        <v>26</v>
      </c>
      <c r="Z4" s="3" t="s">
        <v>27</v>
      </c>
      <c r="AA4" s="3" t="s">
        <v>28</v>
      </c>
      <c r="AB4" s="3" t="s">
        <v>29</v>
      </c>
      <c r="AC4" s="3" t="s">
        <v>30</v>
      </c>
      <c r="AD4" s="3" t="s">
        <v>31</v>
      </c>
      <c r="AE4" s="4" t="s">
        <v>33</v>
      </c>
      <c r="AF4" s="4" t="s">
        <v>34</v>
      </c>
      <c r="AG4" s="3" t="s">
        <v>291</v>
      </c>
      <c r="AH4" s="3" t="s">
        <v>36</v>
      </c>
      <c r="AI4" s="3" t="s">
        <v>37</v>
      </c>
      <c r="AJ4" s="3" t="s">
        <v>292</v>
      </c>
      <c r="AK4" s="3" t="s">
        <v>39</v>
      </c>
      <c r="AL4" s="23" t="s">
        <v>40</v>
      </c>
    </row>
    <row r="5" spans="1:40" ht="14.25" customHeight="1">
      <c r="A5" s="24" t="s">
        <v>293</v>
      </c>
      <c r="B5" s="7" t="s">
        <v>42</v>
      </c>
      <c r="C5" s="25" t="s">
        <v>43</v>
      </c>
      <c r="D5" s="7" t="s">
        <v>44</v>
      </c>
      <c r="E5" s="7" t="s">
        <v>45</v>
      </c>
      <c r="F5" s="7" t="s">
        <v>46</v>
      </c>
      <c r="G5" s="7"/>
      <c r="H5" s="7" t="s">
        <v>47</v>
      </c>
      <c r="I5" s="7" t="s">
        <v>48</v>
      </c>
      <c r="J5" s="7" t="s">
        <v>49</v>
      </c>
      <c r="K5" s="7" t="s">
        <v>50</v>
      </c>
      <c r="L5" s="7" t="s">
        <v>50</v>
      </c>
      <c r="M5" s="7"/>
      <c r="N5" s="7" t="s">
        <v>51</v>
      </c>
      <c r="O5" s="7" t="s">
        <v>52</v>
      </c>
      <c r="P5" s="7" t="s">
        <v>53</v>
      </c>
      <c r="Q5" s="7" t="s">
        <v>54</v>
      </c>
      <c r="R5" s="7" t="s">
        <v>55</v>
      </c>
      <c r="S5" s="7" t="s">
        <v>43</v>
      </c>
      <c r="T5" s="7" t="s">
        <v>56</v>
      </c>
      <c r="U5" s="7" t="s">
        <v>57</v>
      </c>
      <c r="V5" s="7" t="s">
        <v>58</v>
      </c>
      <c r="W5" s="24">
        <v>31</v>
      </c>
      <c r="X5" s="25"/>
      <c r="Y5" s="7">
        <f t="shared" ref="Y5:Y57" si="0">W5-X5</f>
        <v>31</v>
      </c>
      <c r="Z5" s="7">
        <v>150000</v>
      </c>
      <c r="AA5" s="7">
        <v>0</v>
      </c>
      <c r="AB5" s="7">
        <v>75000</v>
      </c>
      <c r="AC5" s="7">
        <v>0</v>
      </c>
      <c r="AD5" s="7">
        <v>75000</v>
      </c>
      <c r="AE5" s="8">
        <f t="shared" ref="AE5:AE57" si="1">SUM(Z5:AD5)</f>
        <v>300000</v>
      </c>
      <c r="AF5" s="8">
        <f t="shared" ref="AF5:AF58" si="2">ROUND(AE5/W5*Y5,0)</f>
        <v>300000</v>
      </c>
      <c r="AG5" s="7"/>
      <c r="AH5" s="9">
        <f>TDS!D25</f>
        <v>56907.5</v>
      </c>
      <c r="AI5" s="7">
        <v>0</v>
      </c>
      <c r="AJ5" s="7">
        <v>0</v>
      </c>
      <c r="AK5" s="10">
        <v>0</v>
      </c>
      <c r="AL5" s="8">
        <f t="shared" ref="AL5:AL9" si="3">AF5-SUM(AH5:AK5)</f>
        <v>243092.5</v>
      </c>
    </row>
    <row r="6" spans="1:40" ht="14.25" customHeight="1">
      <c r="A6" s="24" t="s">
        <v>293</v>
      </c>
      <c r="B6" s="7" t="s">
        <v>59</v>
      </c>
      <c r="C6" s="25" t="s">
        <v>60</v>
      </c>
      <c r="D6" s="7" t="s">
        <v>44</v>
      </c>
      <c r="E6" s="7" t="s">
        <v>45</v>
      </c>
      <c r="F6" s="7" t="s">
        <v>61</v>
      </c>
      <c r="G6" s="7"/>
      <c r="H6" s="7" t="s">
        <v>62</v>
      </c>
      <c r="I6" s="7" t="s">
        <v>63</v>
      </c>
      <c r="J6" s="7" t="s">
        <v>64</v>
      </c>
      <c r="K6" s="7" t="s">
        <v>50</v>
      </c>
      <c r="L6" s="7" t="s">
        <v>50</v>
      </c>
      <c r="M6" s="7"/>
      <c r="N6" s="7" t="s">
        <v>65</v>
      </c>
      <c r="O6" s="7" t="s">
        <v>66</v>
      </c>
      <c r="P6" s="7" t="s">
        <v>53</v>
      </c>
      <c r="Q6" s="7" t="s">
        <v>67</v>
      </c>
      <c r="R6" s="7" t="s">
        <v>68</v>
      </c>
      <c r="S6" s="7" t="s">
        <v>60</v>
      </c>
      <c r="T6" s="7" t="s">
        <v>56</v>
      </c>
      <c r="U6" s="7" t="s">
        <v>69</v>
      </c>
      <c r="V6" s="7" t="s">
        <v>70</v>
      </c>
      <c r="W6" s="24">
        <v>31</v>
      </c>
      <c r="X6" s="25"/>
      <c r="Y6" s="7">
        <f t="shared" si="0"/>
        <v>31</v>
      </c>
      <c r="Z6" s="7">
        <v>99621</v>
      </c>
      <c r="AA6" s="7">
        <v>0</v>
      </c>
      <c r="AB6" s="7">
        <v>49810</v>
      </c>
      <c r="AC6" s="7">
        <v>0</v>
      </c>
      <c r="AD6" s="7">
        <v>49810</v>
      </c>
      <c r="AE6" s="8">
        <f t="shared" si="1"/>
        <v>199241</v>
      </c>
      <c r="AF6" s="8">
        <f t="shared" si="2"/>
        <v>199241</v>
      </c>
      <c r="AG6" s="7"/>
      <c r="AH6" s="9">
        <f>TDS!E25+2</f>
        <v>21989.75333333333</v>
      </c>
      <c r="AI6" s="7">
        <v>0</v>
      </c>
      <c r="AJ6" s="7">
        <v>0</v>
      </c>
      <c r="AK6" s="10">
        <v>0</v>
      </c>
      <c r="AL6" s="8">
        <f t="shared" si="3"/>
        <v>177251.24666666667</v>
      </c>
    </row>
    <row r="7" spans="1:40" ht="14.25" customHeight="1">
      <c r="A7" s="24" t="s">
        <v>293</v>
      </c>
      <c r="B7" s="7" t="s">
        <v>71</v>
      </c>
      <c r="C7" s="25" t="s">
        <v>72</v>
      </c>
      <c r="D7" s="7" t="s">
        <v>44</v>
      </c>
      <c r="E7" s="7" t="s">
        <v>45</v>
      </c>
      <c r="F7" s="7" t="s">
        <v>73</v>
      </c>
      <c r="G7" s="7"/>
      <c r="H7" s="7" t="s">
        <v>74</v>
      </c>
      <c r="I7" s="7" t="s">
        <v>75</v>
      </c>
      <c r="J7" s="7" t="s">
        <v>76</v>
      </c>
      <c r="K7" s="7" t="s">
        <v>50</v>
      </c>
      <c r="L7" s="7" t="s">
        <v>50</v>
      </c>
      <c r="M7" s="7"/>
      <c r="N7" s="7" t="s">
        <v>77</v>
      </c>
      <c r="O7" s="7" t="s">
        <v>78</v>
      </c>
      <c r="P7" s="7" t="s">
        <v>79</v>
      </c>
      <c r="Q7" s="7" t="s">
        <v>80</v>
      </c>
      <c r="R7" s="7" t="s">
        <v>81</v>
      </c>
      <c r="S7" s="7" t="s">
        <v>72</v>
      </c>
      <c r="T7" s="7" t="s">
        <v>56</v>
      </c>
      <c r="U7" s="7" t="s">
        <v>82</v>
      </c>
      <c r="V7" s="7" t="s">
        <v>83</v>
      </c>
      <c r="W7" s="24">
        <v>31</v>
      </c>
      <c r="X7" s="25"/>
      <c r="Y7" s="7">
        <f t="shared" si="0"/>
        <v>31</v>
      </c>
      <c r="Z7" s="7">
        <v>47442</v>
      </c>
      <c r="AA7" s="7">
        <v>0</v>
      </c>
      <c r="AB7" s="7">
        <v>23721</v>
      </c>
      <c r="AC7" s="7">
        <v>0</v>
      </c>
      <c r="AD7" s="7">
        <v>23721</v>
      </c>
      <c r="AE7" s="8">
        <f t="shared" si="1"/>
        <v>94884</v>
      </c>
      <c r="AF7" s="8">
        <f t="shared" si="2"/>
        <v>94884</v>
      </c>
      <c r="AG7" s="7"/>
      <c r="AH7" s="7"/>
      <c r="AI7" s="7">
        <v>0</v>
      </c>
      <c r="AJ7" s="7">
        <v>0</v>
      </c>
      <c r="AK7" s="10">
        <v>0</v>
      </c>
      <c r="AL7" s="8">
        <f t="shared" si="3"/>
        <v>94884</v>
      </c>
    </row>
    <row r="8" spans="1:40" ht="14.25" customHeight="1">
      <c r="A8" s="24" t="s">
        <v>293</v>
      </c>
      <c r="B8" s="7" t="s">
        <v>226</v>
      </c>
      <c r="C8" s="25" t="s">
        <v>227</v>
      </c>
      <c r="D8" s="7" t="s">
        <v>44</v>
      </c>
      <c r="E8" s="7" t="s">
        <v>45</v>
      </c>
      <c r="F8" s="7" t="s">
        <v>228</v>
      </c>
      <c r="G8" s="7"/>
      <c r="H8" s="7" t="s">
        <v>229</v>
      </c>
      <c r="I8" s="7" t="s">
        <v>75</v>
      </c>
      <c r="J8" s="7" t="s">
        <v>76</v>
      </c>
      <c r="K8" s="7" t="s">
        <v>50</v>
      </c>
      <c r="L8" s="7" t="s">
        <v>50</v>
      </c>
      <c r="M8" s="7"/>
      <c r="N8" s="7" t="s">
        <v>230</v>
      </c>
      <c r="O8" s="7" t="s">
        <v>231</v>
      </c>
      <c r="P8" s="7" t="s">
        <v>232</v>
      </c>
      <c r="Q8" s="7" t="s">
        <v>233</v>
      </c>
      <c r="R8" s="7" t="s">
        <v>234</v>
      </c>
      <c r="S8" s="7" t="s">
        <v>227</v>
      </c>
      <c r="T8" s="7" t="s">
        <v>56</v>
      </c>
      <c r="U8" s="7" t="s">
        <v>235</v>
      </c>
      <c r="V8" s="7" t="s">
        <v>236</v>
      </c>
      <c r="W8" s="24">
        <v>31</v>
      </c>
      <c r="X8" s="25"/>
      <c r="Y8" s="7">
        <f t="shared" si="0"/>
        <v>31</v>
      </c>
      <c r="Z8" s="7">
        <f>33275+3327-2</f>
        <v>36600</v>
      </c>
      <c r="AA8" s="7">
        <v>0</v>
      </c>
      <c r="AB8" s="7">
        <f>16638+1663-1</f>
        <v>18300</v>
      </c>
      <c r="AC8" s="7">
        <v>0</v>
      </c>
      <c r="AD8" s="7">
        <f>16638+1663-1</f>
        <v>18300</v>
      </c>
      <c r="AE8" s="8">
        <f t="shared" si="1"/>
        <v>73200</v>
      </c>
      <c r="AF8" s="8">
        <f t="shared" si="2"/>
        <v>73200</v>
      </c>
      <c r="AG8" s="7"/>
      <c r="AH8" s="7"/>
      <c r="AI8" s="7">
        <v>0</v>
      </c>
      <c r="AJ8" s="7">
        <v>0</v>
      </c>
      <c r="AK8" s="10">
        <v>0</v>
      </c>
      <c r="AL8" s="8">
        <f t="shared" si="3"/>
        <v>73200</v>
      </c>
      <c r="AN8" s="2">
        <f>AL8-AE8</f>
        <v>0</v>
      </c>
    </row>
    <row r="9" spans="1:40" ht="14.25" customHeight="1">
      <c r="A9" s="24" t="s">
        <v>293</v>
      </c>
      <c r="B9" s="7" t="s">
        <v>84</v>
      </c>
      <c r="C9" s="25" t="s">
        <v>85</v>
      </c>
      <c r="D9" s="7" t="s">
        <v>44</v>
      </c>
      <c r="E9" s="7" t="s">
        <v>86</v>
      </c>
      <c r="F9" s="7" t="s">
        <v>87</v>
      </c>
      <c r="G9" s="7"/>
      <c r="H9" s="7" t="s">
        <v>88</v>
      </c>
      <c r="I9" s="7" t="s">
        <v>89</v>
      </c>
      <c r="J9" s="7" t="s">
        <v>76</v>
      </c>
      <c r="K9" s="7" t="s">
        <v>50</v>
      </c>
      <c r="L9" s="7" t="s">
        <v>50</v>
      </c>
      <c r="M9" s="7"/>
      <c r="N9" s="7" t="s">
        <v>90</v>
      </c>
      <c r="O9" s="7" t="s">
        <v>91</v>
      </c>
      <c r="P9" s="7" t="s">
        <v>92</v>
      </c>
      <c r="Q9" s="7" t="s">
        <v>93</v>
      </c>
      <c r="R9" s="7" t="s">
        <v>94</v>
      </c>
      <c r="S9" s="7" t="s">
        <v>85</v>
      </c>
      <c r="T9" s="7" t="s">
        <v>56</v>
      </c>
      <c r="U9" s="7" t="s">
        <v>95</v>
      </c>
      <c r="V9" s="7" t="s">
        <v>96</v>
      </c>
      <c r="W9" s="24">
        <v>31</v>
      </c>
      <c r="X9" s="25"/>
      <c r="Y9" s="7">
        <f t="shared" si="0"/>
        <v>31</v>
      </c>
      <c r="Z9" s="7">
        <v>25000</v>
      </c>
      <c r="AA9" s="7">
        <v>0</v>
      </c>
      <c r="AB9" s="7">
        <v>6200</v>
      </c>
      <c r="AC9" s="7">
        <v>0</v>
      </c>
      <c r="AD9" s="7">
        <v>6200</v>
      </c>
      <c r="AE9" s="8">
        <f t="shared" si="1"/>
        <v>37400</v>
      </c>
      <c r="AF9" s="8">
        <f t="shared" si="2"/>
        <v>37400</v>
      </c>
      <c r="AG9" s="7"/>
      <c r="AH9" s="7"/>
      <c r="AI9" s="7">
        <v>0</v>
      </c>
      <c r="AJ9" s="7">
        <v>0</v>
      </c>
      <c r="AK9" s="10">
        <v>0</v>
      </c>
      <c r="AL9" s="8">
        <f t="shared" si="3"/>
        <v>37400</v>
      </c>
    </row>
    <row r="10" spans="1:40" ht="14.25" customHeight="1">
      <c r="A10" s="24" t="s">
        <v>293</v>
      </c>
      <c r="B10" s="7" t="s">
        <v>97</v>
      </c>
      <c r="C10" s="25" t="s">
        <v>98</v>
      </c>
      <c r="D10" s="7" t="s">
        <v>44</v>
      </c>
      <c r="E10" s="7" t="s">
        <v>45</v>
      </c>
      <c r="F10" s="7" t="s">
        <v>99</v>
      </c>
      <c r="G10" s="7"/>
      <c r="H10" s="7" t="s">
        <v>100</v>
      </c>
      <c r="I10" s="7" t="s">
        <v>89</v>
      </c>
      <c r="J10" s="7" t="s">
        <v>101</v>
      </c>
      <c r="K10" s="7" t="s">
        <v>50</v>
      </c>
      <c r="L10" s="7" t="s">
        <v>50</v>
      </c>
      <c r="M10" s="7"/>
      <c r="N10" s="7" t="s">
        <v>102</v>
      </c>
      <c r="O10" s="7" t="s">
        <v>103</v>
      </c>
      <c r="P10" s="7" t="s">
        <v>92</v>
      </c>
      <c r="Q10" s="7" t="s">
        <v>104</v>
      </c>
      <c r="R10" s="7" t="s">
        <v>105</v>
      </c>
      <c r="S10" s="7" t="s">
        <v>98</v>
      </c>
      <c r="T10" s="7" t="s">
        <v>56</v>
      </c>
      <c r="U10" s="7" t="s">
        <v>106</v>
      </c>
      <c r="V10" s="7" t="s">
        <v>107</v>
      </c>
      <c r="W10" s="24">
        <v>31</v>
      </c>
      <c r="X10" s="26"/>
      <c r="Y10" s="7">
        <f t="shared" si="0"/>
        <v>31</v>
      </c>
      <c r="Z10" s="7">
        <f>21000+1000</f>
        <v>22000</v>
      </c>
      <c r="AA10" s="7">
        <v>0</v>
      </c>
      <c r="AB10" s="7">
        <v>7650</v>
      </c>
      <c r="AC10" s="7"/>
      <c r="AD10" s="7">
        <v>6650</v>
      </c>
      <c r="AE10" s="8">
        <f t="shared" si="1"/>
        <v>36300</v>
      </c>
      <c r="AF10" s="8">
        <f t="shared" si="2"/>
        <v>36300</v>
      </c>
      <c r="AG10" s="24">
        <v>1210</v>
      </c>
      <c r="AH10" s="7"/>
      <c r="AI10" s="7">
        <v>0</v>
      </c>
      <c r="AJ10" s="7">
        <v>0</v>
      </c>
      <c r="AK10" s="10">
        <v>0</v>
      </c>
      <c r="AL10" s="8">
        <f>AF10-SUM(AH10:AK10)+AG10</f>
        <v>37510</v>
      </c>
      <c r="AN10" s="18"/>
    </row>
    <row r="11" spans="1:40" ht="14.25" customHeight="1">
      <c r="A11" s="24" t="s">
        <v>293</v>
      </c>
      <c r="B11" s="7" t="s">
        <v>108</v>
      </c>
      <c r="C11" s="25" t="s">
        <v>109</v>
      </c>
      <c r="D11" s="7" t="s">
        <v>44</v>
      </c>
      <c r="E11" s="7" t="s">
        <v>45</v>
      </c>
      <c r="F11" s="7" t="s">
        <v>110</v>
      </c>
      <c r="G11" s="7"/>
      <c r="H11" s="7" t="s">
        <v>111</v>
      </c>
      <c r="I11" s="7" t="s">
        <v>89</v>
      </c>
      <c r="J11" s="7" t="s">
        <v>101</v>
      </c>
      <c r="K11" s="7" t="s">
        <v>50</v>
      </c>
      <c r="L11" s="7" t="s">
        <v>50</v>
      </c>
      <c r="M11" s="7"/>
      <c r="N11" s="7" t="s">
        <v>112</v>
      </c>
      <c r="O11" s="7" t="s">
        <v>113</v>
      </c>
      <c r="P11" s="7" t="s">
        <v>114</v>
      </c>
      <c r="Q11" s="7" t="s">
        <v>115</v>
      </c>
      <c r="R11" s="7" t="s">
        <v>116</v>
      </c>
      <c r="S11" s="7" t="s">
        <v>109</v>
      </c>
      <c r="T11" s="7" t="s">
        <v>56</v>
      </c>
      <c r="U11" s="7" t="s">
        <v>117</v>
      </c>
      <c r="V11" s="7" t="s">
        <v>118</v>
      </c>
      <c r="W11" s="24">
        <v>31</v>
      </c>
      <c r="X11" s="25"/>
      <c r="Y11" s="7">
        <f t="shared" si="0"/>
        <v>31</v>
      </c>
      <c r="Z11" s="7">
        <v>22138</v>
      </c>
      <c r="AA11" s="7">
        <v>0</v>
      </c>
      <c r="AB11" s="7">
        <v>11069</v>
      </c>
      <c r="AC11" s="7">
        <v>0</v>
      </c>
      <c r="AD11" s="7">
        <v>11069</v>
      </c>
      <c r="AE11" s="8">
        <f t="shared" si="1"/>
        <v>44276</v>
      </c>
      <c r="AF11" s="8">
        <f t="shared" si="2"/>
        <v>44276</v>
      </c>
      <c r="AG11" s="7"/>
      <c r="AH11" s="7"/>
      <c r="AI11" s="7">
        <v>0</v>
      </c>
      <c r="AJ11" s="7">
        <v>0</v>
      </c>
      <c r="AK11" s="10">
        <v>0</v>
      </c>
      <c r="AL11" s="8">
        <f t="shared" ref="AL11:AL18" si="4">AF11-SUM(AH11:AK11)</f>
        <v>44276</v>
      </c>
    </row>
    <row r="12" spans="1:40" ht="14.25" customHeight="1">
      <c r="A12" s="24" t="s">
        <v>293</v>
      </c>
      <c r="B12" s="7" t="s">
        <v>131</v>
      </c>
      <c r="C12" s="25" t="s">
        <v>132</v>
      </c>
      <c r="D12" s="7" t="s">
        <v>44</v>
      </c>
      <c r="E12" s="7" t="s">
        <v>86</v>
      </c>
      <c r="F12" s="7" t="s">
        <v>133</v>
      </c>
      <c r="G12" s="7"/>
      <c r="H12" s="7" t="s">
        <v>134</v>
      </c>
      <c r="I12" s="7" t="s">
        <v>135</v>
      </c>
      <c r="J12" s="7" t="s">
        <v>136</v>
      </c>
      <c r="K12" s="7" t="s">
        <v>50</v>
      </c>
      <c r="L12" s="7" t="s">
        <v>50</v>
      </c>
      <c r="M12" s="7"/>
      <c r="N12" s="7" t="s">
        <v>137</v>
      </c>
      <c r="O12" s="7" t="s">
        <v>138</v>
      </c>
      <c r="P12" s="7" t="s">
        <v>139</v>
      </c>
      <c r="Q12" s="7" t="s">
        <v>140</v>
      </c>
      <c r="R12" s="7" t="s">
        <v>141</v>
      </c>
      <c r="S12" s="7" t="s">
        <v>132</v>
      </c>
      <c r="T12" s="7" t="s">
        <v>56</v>
      </c>
      <c r="U12" s="7" t="s">
        <v>142</v>
      </c>
      <c r="V12" s="7" t="s">
        <v>143</v>
      </c>
      <c r="W12" s="24">
        <v>31</v>
      </c>
      <c r="X12" s="25"/>
      <c r="Y12" s="7">
        <f t="shared" si="0"/>
        <v>31</v>
      </c>
      <c r="Z12" s="7">
        <v>23500</v>
      </c>
      <c r="AA12" s="7">
        <v>0</v>
      </c>
      <c r="AB12" s="7">
        <f>10750-500</f>
        <v>10250</v>
      </c>
      <c r="AC12" s="7">
        <v>0</v>
      </c>
      <c r="AD12" s="7">
        <f>10750-1500</f>
        <v>9250</v>
      </c>
      <c r="AE12" s="8">
        <f t="shared" si="1"/>
        <v>43000</v>
      </c>
      <c r="AF12" s="8">
        <f t="shared" si="2"/>
        <v>43000</v>
      </c>
      <c r="AG12" s="7"/>
      <c r="AH12" s="7"/>
      <c r="AI12" s="7">
        <v>0</v>
      </c>
      <c r="AJ12" s="7">
        <v>0</v>
      </c>
      <c r="AK12" s="10">
        <v>0</v>
      </c>
      <c r="AL12" s="8">
        <f t="shared" si="4"/>
        <v>43000</v>
      </c>
    </row>
    <row r="13" spans="1:40" ht="14.25" customHeight="1">
      <c r="A13" s="24" t="s">
        <v>293</v>
      </c>
      <c r="B13" s="7" t="s">
        <v>144</v>
      </c>
      <c r="C13" s="25" t="s">
        <v>145</v>
      </c>
      <c r="D13" s="7" t="s">
        <v>44</v>
      </c>
      <c r="E13" s="7" t="s">
        <v>86</v>
      </c>
      <c r="F13" s="7" t="s">
        <v>99</v>
      </c>
      <c r="G13" s="7"/>
      <c r="H13" s="7" t="s">
        <v>146</v>
      </c>
      <c r="I13" s="7" t="s">
        <v>135</v>
      </c>
      <c r="J13" s="7" t="s">
        <v>136</v>
      </c>
      <c r="K13" s="7" t="s">
        <v>50</v>
      </c>
      <c r="L13" s="7" t="s">
        <v>50</v>
      </c>
      <c r="M13" s="7"/>
      <c r="N13" s="7" t="s">
        <v>147</v>
      </c>
      <c r="O13" s="7" t="s">
        <v>148</v>
      </c>
      <c r="P13" s="7" t="s">
        <v>92</v>
      </c>
      <c r="Q13" s="7" t="s">
        <v>149</v>
      </c>
      <c r="R13" s="7" t="s">
        <v>150</v>
      </c>
      <c r="S13" s="7" t="s">
        <v>151</v>
      </c>
      <c r="T13" s="7" t="s">
        <v>56</v>
      </c>
      <c r="U13" s="7" t="s">
        <v>152</v>
      </c>
      <c r="V13" s="7" t="s">
        <v>153</v>
      </c>
      <c r="W13" s="24">
        <v>31</v>
      </c>
      <c r="X13" s="25"/>
      <c r="Y13" s="7">
        <f t="shared" si="0"/>
        <v>31</v>
      </c>
      <c r="Z13" s="7">
        <v>23500</v>
      </c>
      <c r="AA13" s="7">
        <v>0</v>
      </c>
      <c r="AB13" s="7">
        <v>10500</v>
      </c>
      <c r="AC13" s="7">
        <v>0</v>
      </c>
      <c r="AD13" s="7">
        <f>9500-1500</f>
        <v>8000</v>
      </c>
      <c r="AE13" s="8">
        <f t="shared" si="1"/>
        <v>42000</v>
      </c>
      <c r="AF13" s="8">
        <f t="shared" si="2"/>
        <v>42000</v>
      </c>
      <c r="AG13" s="7"/>
      <c r="AH13" s="7"/>
      <c r="AI13" s="7">
        <v>0</v>
      </c>
      <c r="AJ13" s="7">
        <v>0</v>
      </c>
      <c r="AK13" s="10">
        <v>0</v>
      </c>
      <c r="AL13" s="8">
        <f t="shared" si="4"/>
        <v>42000</v>
      </c>
    </row>
    <row r="14" spans="1:40" ht="14.25" customHeight="1">
      <c r="A14" s="24" t="s">
        <v>293</v>
      </c>
      <c r="B14" s="7" t="s">
        <v>247</v>
      </c>
      <c r="C14" s="25" t="s">
        <v>248</v>
      </c>
      <c r="D14" s="7" t="s">
        <v>44</v>
      </c>
      <c r="E14" s="7" t="s">
        <v>86</v>
      </c>
      <c r="F14" s="7" t="s">
        <v>249</v>
      </c>
      <c r="G14" s="7"/>
      <c r="H14" s="7" t="s">
        <v>250</v>
      </c>
      <c r="I14" s="7" t="s">
        <v>135</v>
      </c>
      <c r="J14" s="7" t="s">
        <v>136</v>
      </c>
      <c r="K14" s="7" t="s">
        <v>50</v>
      </c>
      <c r="L14" s="7" t="s">
        <v>50</v>
      </c>
      <c r="M14" s="7"/>
      <c r="N14" s="7" t="s">
        <v>251</v>
      </c>
      <c r="O14" s="7" t="s">
        <v>252</v>
      </c>
      <c r="P14" s="7" t="s">
        <v>232</v>
      </c>
      <c r="Q14" s="7" t="s">
        <v>253</v>
      </c>
      <c r="R14" s="7" t="s">
        <v>254</v>
      </c>
      <c r="S14" s="7" t="s">
        <v>248</v>
      </c>
      <c r="T14" s="7" t="s">
        <v>56</v>
      </c>
      <c r="U14" s="7" t="s">
        <v>255</v>
      </c>
      <c r="V14" s="7" t="s">
        <v>256</v>
      </c>
      <c r="W14" s="24">
        <v>31</v>
      </c>
      <c r="X14" s="25"/>
      <c r="Y14" s="7">
        <f t="shared" si="0"/>
        <v>31</v>
      </c>
      <c r="Z14" s="7">
        <v>24000</v>
      </c>
      <c r="AA14" s="7">
        <v>0</v>
      </c>
      <c r="AB14" s="7">
        <v>11000</v>
      </c>
      <c r="AC14" s="7">
        <v>0</v>
      </c>
      <c r="AD14" s="7">
        <v>9000</v>
      </c>
      <c r="AE14" s="8">
        <f t="shared" si="1"/>
        <v>44000</v>
      </c>
      <c r="AF14" s="8">
        <f t="shared" si="2"/>
        <v>44000</v>
      </c>
      <c r="AG14" s="7"/>
      <c r="AH14" s="7"/>
      <c r="AI14" s="7">
        <v>0</v>
      </c>
      <c r="AJ14" s="7">
        <v>0</v>
      </c>
      <c r="AK14" s="10">
        <v>0</v>
      </c>
      <c r="AL14" s="8">
        <f t="shared" si="4"/>
        <v>44000</v>
      </c>
    </row>
    <row r="15" spans="1:40" ht="14.25" customHeight="1">
      <c r="A15" s="24" t="s">
        <v>293</v>
      </c>
      <c r="B15" s="7" t="s">
        <v>154</v>
      </c>
      <c r="C15" s="25" t="s">
        <v>155</v>
      </c>
      <c r="D15" s="7" t="s">
        <v>44</v>
      </c>
      <c r="E15" s="7" t="s">
        <v>86</v>
      </c>
      <c r="F15" s="7" t="s">
        <v>156</v>
      </c>
      <c r="G15" s="7"/>
      <c r="H15" s="7" t="s">
        <v>157</v>
      </c>
      <c r="I15" s="7" t="s">
        <v>135</v>
      </c>
      <c r="J15" s="7" t="s">
        <v>136</v>
      </c>
      <c r="K15" s="7" t="s">
        <v>50</v>
      </c>
      <c r="L15" s="7" t="s">
        <v>50</v>
      </c>
      <c r="M15" s="7"/>
      <c r="N15" s="7" t="s">
        <v>158</v>
      </c>
      <c r="O15" s="7" t="s">
        <v>159</v>
      </c>
      <c r="P15" s="7" t="s">
        <v>160</v>
      </c>
      <c r="Q15" s="7" t="s">
        <v>161</v>
      </c>
      <c r="R15" s="7" t="s">
        <v>162</v>
      </c>
      <c r="S15" s="7" t="s">
        <v>155</v>
      </c>
      <c r="T15" s="7" t="s">
        <v>56</v>
      </c>
      <c r="U15" s="7" t="s">
        <v>163</v>
      </c>
      <c r="V15" s="7" t="s">
        <v>164</v>
      </c>
      <c r="W15" s="24">
        <v>31</v>
      </c>
      <c r="X15" s="27">
        <f>LOP!R21</f>
        <v>1.5</v>
      </c>
      <c r="Y15" s="7">
        <f t="shared" si="0"/>
        <v>29.5</v>
      </c>
      <c r="Z15" s="7">
        <f>24000+2400</f>
        <v>26400</v>
      </c>
      <c r="AA15" s="7">
        <v>0</v>
      </c>
      <c r="AB15" s="7">
        <f>8292+829</f>
        <v>9121</v>
      </c>
      <c r="AC15" s="7"/>
      <c r="AD15" s="7">
        <f>5292+529</f>
        <v>5821</v>
      </c>
      <c r="AE15" s="8">
        <f t="shared" si="1"/>
        <v>41342</v>
      </c>
      <c r="AF15" s="8">
        <f t="shared" si="2"/>
        <v>39342</v>
      </c>
      <c r="AG15" s="7"/>
      <c r="AH15" s="7"/>
      <c r="AI15" s="7">
        <v>0</v>
      </c>
      <c r="AJ15" s="7">
        <v>0</v>
      </c>
      <c r="AK15" s="10">
        <v>0</v>
      </c>
      <c r="AL15" s="8">
        <f t="shared" si="4"/>
        <v>39342</v>
      </c>
    </row>
    <row r="16" spans="1:40" ht="14.25" customHeight="1">
      <c r="A16" s="24" t="s">
        <v>293</v>
      </c>
      <c r="B16" s="7" t="s">
        <v>165</v>
      </c>
      <c r="C16" s="25" t="s">
        <v>166</v>
      </c>
      <c r="D16" s="7" t="s">
        <v>167</v>
      </c>
      <c r="E16" s="7" t="s">
        <v>86</v>
      </c>
      <c r="F16" s="7" t="s">
        <v>168</v>
      </c>
      <c r="G16" s="7"/>
      <c r="H16" s="7" t="s">
        <v>169</v>
      </c>
      <c r="I16" s="7" t="s">
        <v>89</v>
      </c>
      <c r="J16" s="7" t="s">
        <v>76</v>
      </c>
      <c r="K16" s="7" t="s">
        <v>50</v>
      </c>
      <c r="L16" s="7" t="s">
        <v>50</v>
      </c>
      <c r="M16" s="7"/>
      <c r="N16" s="7" t="s">
        <v>170</v>
      </c>
      <c r="O16" s="7" t="s">
        <v>171</v>
      </c>
      <c r="P16" s="7" t="s">
        <v>92</v>
      </c>
      <c r="Q16" s="7" t="s">
        <v>172</v>
      </c>
      <c r="R16" s="7" t="s">
        <v>173</v>
      </c>
      <c r="S16" s="7" t="s">
        <v>166</v>
      </c>
      <c r="T16" s="7" t="s">
        <v>174</v>
      </c>
      <c r="U16" s="7" t="s">
        <v>175</v>
      </c>
      <c r="V16" s="7" t="s">
        <v>176</v>
      </c>
      <c r="W16" s="24">
        <v>31</v>
      </c>
      <c r="X16" s="25"/>
      <c r="Y16" s="7">
        <f t="shared" si="0"/>
        <v>31</v>
      </c>
      <c r="Z16" s="7">
        <v>22000</v>
      </c>
      <c r="AA16" s="7">
        <v>0</v>
      </c>
      <c r="AB16" s="7">
        <v>4500</v>
      </c>
      <c r="AC16" s="7">
        <v>0</v>
      </c>
      <c r="AD16" s="7">
        <v>3500</v>
      </c>
      <c r="AE16" s="8">
        <f t="shared" si="1"/>
        <v>30000</v>
      </c>
      <c r="AF16" s="8">
        <f t="shared" si="2"/>
        <v>30000</v>
      </c>
      <c r="AG16" s="7"/>
      <c r="AH16" s="7"/>
      <c r="AI16" s="7">
        <v>0</v>
      </c>
      <c r="AJ16" s="7">
        <v>0</v>
      </c>
      <c r="AK16" s="10">
        <v>0</v>
      </c>
      <c r="AL16" s="8">
        <f t="shared" si="4"/>
        <v>30000</v>
      </c>
    </row>
    <row r="17" spans="1:40" ht="14.25" customHeight="1">
      <c r="A17" s="24" t="s">
        <v>293</v>
      </c>
      <c r="B17" s="7" t="s">
        <v>177</v>
      </c>
      <c r="C17" s="25" t="s">
        <v>178</v>
      </c>
      <c r="D17" s="7" t="s">
        <v>179</v>
      </c>
      <c r="E17" s="7" t="s">
        <v>45</v>
      </c>
      <c r="F17" s="7" t="s">
        <v>180</v>
      </c>
      <c r="G17" s="7"/>
      <c r="H17" s="7" t="s">
        <v>181</v>
      </c>
      <c r="I17" s="7" t="s">
        <v>63</v>
      </c>
      <c r="J17" s="7" t="s">
        <v>101</v>
      </c>
      <c r="K17" s="7" t="s">
        <v>50</v>
      </c>
      <c r="L17" s="7" t="s">
        <v>50</v>
      </c>
      <c r="M17" s="7"/>
      <c r="N17" s="7" t="s">
        <v>182</v>
      </c>
      <c r="O17" s="7" t="s">
        <v>183</v>
      </c>
      <c r="P17" s="7" t="s">
        <v>184</v>
      </c>
      <c r="Q17" s="7" t="s">
        <v>185</v>
      </c>
      <c r="R17" s="7" t="s">
        <v>186</v>
      </c>
      <c r="S17" s="7" t="s">
        <v>178</v>
      </c>
      <c r="T17" s="7" t="s">
        <v>56</v>
      </c>
      <c r="U17" s="7" t="s">
        <v>187</v>
      </c>
      <c r="V17" s="7" t="s">
        <v>188</v>
      </c>
      <c r="W17" s="24">
        <v>31</v>
      </c>
      <c r="X17" s="25"/>
      <c r="Y17" s="7">
        <f t="shared" si="0"/>
        <v>31</v>
      </c>
      <c r="Z17" s="7">
        <f>24000+2400</f>
        <v>26400</v>
      </c>
      <c r="AA17" s="7">
        <v>0</v>
      </c>
      <c r="AB17" s="7">
        <f>7600-3000+460+40</f>
        <v>5100</v>
      </c>
      <c r="AC17" s="7">
        <v>0</v>
      </c>
      <c r="AD17" s="7">
        <v>0</v>
      </c>
      <c r="AE17" s="8">
        <f t="shared" si="1"/>
        <v>31500</v>
      </c>
      <c r="AF17" s="8">
        <f t="shared" si="2"/>
        <v>31500</v>
      </c>
      <c r="AG17" s="7"/>
      <c r="AH17" s="7"/>
      <c r="AI17" s="7">
        <v>0</v>
      </c>
      <c r="AJ17" s="7">
        <v>0</v>
      </c>
      <c r="AK17" s="10">
        <v>0</v>
      </c>
      <c r="AL17" s="8">
        <f t="shared" si="4"/>
        <v>31500</v>
      </c>
    </row>
    <row r="18" spans="1:40" ht="14.25" customHeight="1">
      <c r="A18" s="24" t="s">
        <v>293</v>
      </c>
      <c r="B18" s="7" t="s">
        <v>189</v>
      </c>
      <c r="C18" s="25" t="s">
        <v>190</v>
      </c>
      <c r="D18" s="7" t="s">
        <v>191</v>
      </c>
      <c r="E18" s="7" t="s">
        <v>86</v>
      </c>
      <c r="F18" s="7" t="s">
        <v>192</v>
      </c>
      <c r="G18" s="7"/>
      <c r="H18" s="7" t="s">
        <v>193</v>
      </c>
      <c r="I18" s="7" t="s">
        <v>135</v>
      </c>
      <c r="J18" s="7" t="s">
        <v>136</v>
      </c>
      <c r="K18" s="7" t="s">
        <v>50</v>
      </c>
      <c r="L18" s="7" t="s">
        <v>50</v>
      </c>
      <c r="M18" s="7"/>
      <c r="N18" s="7" t="s">
        <v>194</v>
      </c>
      <c r="O18" s="7" t="s">
        <v>195</v>
      </c>
      <c r="P18" s="7" t="s">
        <v>92</v>
      </c>
      <c r="Q18" s="7" t="s">
        <v>196</v>
      </c>
      <c r="R18" s="7" t="s">
        <v>197</v>
      </c>
      <c r="S18" s="7" t="s">
        <v>190</v>
      </c>
      <c r="T18" s="7" t="s">
        <v>56</v>
      </c>
      <c r="U18" s="7" t="s">
        <v>198</v>
      </c>
      <c r="V18" s="7" t="s">
        <v>199</v>
      </c>
      <c r="W18" s="24">
        <v>31</v>
      </c>
      <c r="X18" s="25"/>
      <c r="Y18" s="7">
        <f t="shared" si="0"/>
        <v>31</v>
      </c>
      <c r="Z18" s="7">
        <v>23000</v>
      </c>
      <c r="AA18" s="7">
        <v>0</v>
      </c>
      <c r="AB18" s="7">
        <v>5600</v>
      </c>
      <c r="AC18" s="7">
        <v>0</v>
      </c>
      <c r="AD18" s="7">
        <v>0</v>
      </c>
      <c r="AE18" s="8">
        <f t="shared" si="1"/>
        <v>28600</v>
      </c>
      <c r="AF18" s="8">
        <f t="shared" si="2"/>
        <v>28600</v>
      </c>
      <c r="AG18" s="7"/>
      <c r="AH18" s="7"/>
      <c r="AI18" s="7">
        <v>0</v>
      </c>
      <c r="AJ18" s="7">
        <v>0</v>
      </c>
      <c r="AK18" s="10">
        <v>0</v>
      </c>
      <c r="AL18" s="8">
        <f t="shared" si="4"/>
        <v>28600</v>
      </c>
    </row>
    <row r="19" spans="1:40" ht="14.25" customHeight="1">
      <c r="A19" s="24" t="s">
        <v>293</v>
      </c>
      <c r="B19" s="7" t="s">
        <v>279</v>
      </c>
      <c r="C19" s="25" t="s">
        <v>280</v>
      </c>
      <c r="D19" s="7" t="s">
        <v>281</v>
      </c>
      <c r="E19" s="7" t="s">
        <v>45</v>
      </c>
      <c r="F19" s="7" t="s">
        <v>282</v>
      </c>
      <c r="G19" s="7"/>
      <c r="H19" s="7" t="s">
        <v>283</v>
      </c>
      <c r="I19" s="7" t="s">
        <v>219</v>
      </c>
      <c r="J19" s="7" t="s">
        <v>284</v>
      </c>
      <c r="K19" s="7" t="s">
        <v>50</v>
      </c>
      <c r="L19" s="7" t="s">
        <v>50</v>
      </c>
      <c r="M19" s="7"/>
      <c r="N19" s="7" t="s">
        <v>285</v>
      </c>
      <c r="O19" s="7" t="s">
        <v>286</v>
      </c>
      <c r="P19" s="7" t="s">
        <v>232</v>
      </c>
      <c r="Q19" s="7" t="s">
        <v>287</v>
      </c>
      <c r="R19" s="7" t="s">
        <v>234</v>
      </c>
      <c r="S19" s="7" t="s">
        <v>280</v>
      </c>
      <c r="T19" s="7" t="s">
        <v>56</v>
      </c>
      <c r="U19" s="7" t="s">
        <v>288</v>
      </c>
      <c r="V19" s="7" t="s">
        <v>289</v>
      </c>
      <c r="W19" s="24">
        <v>31</v>
      </c>
      <c r="X19" s="25"/>
      <c r="Y19" s="7">
        <f t="shared" si="0"/>
        <v>31</v>
      </c>
      <c r="Z19" s="7">
        <v>28100</v>
      </c>
      <c r="AA19" s="7">
        <v>0</v>
      </c>
      <c r="AB19" s="7">
        <v>12050</v>
      </c>
      <c r="AC19" s="7">
        <v>0</v>
      </c>
      <c r="AD19" s="7">
        <v>8050</v>
      </c>
      <c r="AE19" s="8">
        <f t="shared" si="1"/>
        <v>48200</v>
      </c>
      <c r="AF19" s="8">
        <f t="shared" si="2"/>
        <v>48200</v>
      </c>
      <c r="AG19" s="7">
        <v>0</v>
      </c>
      <c r="AH19" s="7"/>
      <c r="AI19" s="7">
        <v>1800</v>
      </c>
      <c r="AJ19" s="7">
        <v>0</v>
      </c>
      <c r="AK19" s="10">
        <v>0</v>
      </c>
      <c r="AL19" s="8">
        <f>AF19-SUM(AH19:AK19)-AG19</f>
        <v>46400</v>
      </c>
    </row>
    <row r="20" spans="1:40" ht="14.25" customHeight="1">
      <c r="A20" s="24" t="s">
        <v>293</v>
      </c>
      <c r="B20" s="7" t="s">
        <v>214</v>
      </c>
      <c r="C20" s="25" t="s">
        <v>215</v>
      </c>
      <c r="D20" s="7" t="s">
        <v>216</v>
      </c>
      <c r="E20" s="7" t="s">
        <v>45</v>
      </c>
      <c r="F20" s="7" t="s">
        <v>217</v>
      </c>
      <c r="G20" s="7"/>
      <c r="H20" s="7" t="s">
        <v>218</v>
      </c>
      <c r="I20" s="7" t="s">
        <v>219</v>
      </c>
      <c r="J20" s="7" t="s">
        <v>136</v>
      </c>
      <c r="K20" s="7" t="s">
        <v>50</v>
      </c>
      <c r="L20" s="7" t="s">
        <v>50</v>
      </c>
      <c r="M20" s="7"/>
      <c r="N20" s="7" t="s">
        <v>220</v>
      </c>
      <c r="O20" s="7" t="s">
        <v>221</v>
      </c>
      <c r="P20" s="7" t="s">
        <v>232</v>
      </c>
      <c r="Q20" s="28">
        <v>50100823730034</v>
      </c>
      <c r="R20" s="7" t="s">
        <v>294</v>
      </c>
      <c r="S20" s="7" t="s">
        <v>215</v>
      </c>
      <c r="T20" s="7" t="s">
        <v>56</v>
      </c>
      <c r="U20" s="7" t="s">
        <v>223</v>
      </c>
      <c r="V20" s="7" t="s">
        <v>224</v>
      </c>
      <c r="W20" s="24">
        <v>31</v>
      </c>
      <c r="X20" s="25"/>
      <c r="Y20" s="7">
        <f t="shared" si="0"/>
        <v>31</v>
      </c>
      <c r="Z20" s="7">
        <v>27912</v>
      </c>
      <c r="AA20" s="7">
        <v>0</v>
      </c>
      <c r="AB20" s="7">
        <v>13957</v>
      </c>
      <c r="AC20" s="7">
        <v>0</v>
      </c>
      <c r="AD20" s="7">
        <v>13957</v>
      </c>
      <c r="AE20" s="8">
        <f t="shared" si="1"/>
        <v>55826</v>
      </c>
      <c r="AF20" s="8">
        <f t="shared" si="2"/>
        <v>55826</v>
      </c>
      <c r="AG20" s="7"/>
      <c r="AH20" s="7"/>
      <c r="AI20" s="7">
        <v>1800</v>
      </c>
      <c r="AJ20" s="7">
        <v>0</v>
      </c>
      <c r="AK20" s="10">
        <v>0</v>
      </c>
      <c r="AL20" s="8">
        <f t="shared" ref="AL20:AL22" si="5">AF20-SUM(AH20:AK20)</f>
        <v>54026</v>
      </c>
    </row>
    <row r="21" spans="1:40" ht="14.25" customHeight="1">
      <c r="A21" s="24" t="s">
        <v>293</v>
      </c>
      <c r="B21" s="7" t="s">
        <v>295</v>
      </c>
      <c r="C21" s="25" t="s">
        <v>296</v>
      </c>
      <c r="D21" s="7" t="s">
        <v>44</v>
      </c>
      <c r="E21" s="7" t="s">
        <v>86</v>
      </c>
      <c r="F21" s="7" t="s">
        <v>297</v>
      </c>
      <c r="G21" s="7"/>
      <c r="H21" s="7" t="s">
        <v>298</v>
      </c>
      <c r="I21" s="7" t="s">
        <v>219</v>
      </c>
      <c r="J21" s="7" t="s">
        <v>136</v>
      </c>
      <c r="K21" s="7" t="s">
        <v>50</v>
      </c>
      <c r="L21" s="7" t="s">
        <v>50</v>
      </c>
      <c r="M21" s="7"/>
      <c r="N21" s="7" t="s">
        <v>299</v>
      </c>
      <c r="O21" s="7" t="s">
        <v>300</v>
      </c>
      <c r="P21" s="7" t="s">
        <v>232</v>
      </c>
      <c r="Q21" s="7" t="s">
        <v>301</v>
      </c>
      <c r="R21" s="7" t="s">
        <v>302</v>
      </c>
      <c r="S21" s="7" t="s">
        <v>296</v>
      </c>
      <c r="T21" s="7" t="s">
        <v>56</v>
      </c>
      <c r="U21" s="7" t="s">
        <v>303</v>
      </c>
      <c r="V21" s="7" t="s">
        <v>304</v>
      </c>
      <c r="W21" s="24">
        <v>31</v>
      </c>
      <c r="X21" s="27">
        <f>LOP!R27</f>
        <v>1</v>
      </c>
      <c r="Y21" s="7">
        <f t="shared" si="0"/>
        <v>30</v>
      </c>
      <c r="Z21" s="7">
        <f>24000+2400</f>
        <v>26400</v>
      </c>
      <c r="AA21" s="7">
        <v>0</v>
      </c>
      <c r="AB21" s="7">
        <f>6000+600</f>
        <v>6600</v>
      </c>
      <c r="AC21" s="7">
        <v>0</v>
      </c>
      <c r="AD21" s="7">
        <f>3000+300</f>
        <v>3300</v>
      </c>
      <c r="AE21" s="8">
        <f t="shared" si="1"/>
        <v>36300</v>
      </c>
      <c r="AF21" s="8">
        <f t="shared" si="2"/>
        <v>35129</v>
      </c>
      <c r="AG21" s="7"/>
      <c r="AH21" s="7"/>
      <c r="AI21" s="7">
        <v>0</v>
      </c>
      <c r="AJ21" s="7">
        <v>0</v>
      </c>
      <c r="AK21" s="10">
        <v>0</v>
      </c>
      <c r="AL21" s="8">
        <f t="shared" si="5"/>
        <v>35129</v>
      </c>
    </row>
    <row r="22" spans="1:40" ht="14.25" customHeight="1">
      <c r="A22" s="24" t="s">
        <v>293</v>
      </c>
      <c r="B22" s="7" t="s">
        <v>305</v>
      </c>
      <c r="C22" s="25" t="s">
        <v>306</v>
      </c>
      <c r="D22" s="7" t="s">
        <v>307</v>
      </c>
      <c r="E22" s="7" t="s">
        <v>45</v>
      </c>
      <c r="F22" s="7" t="s">
        <v>308</v>
      </c>
      <c r="G22" s="7"/>
      <c r="H22" s="7" t="s">
        <v>309</v>
      </c>
      <c r="I22" s="7" t="s">
        <v>63</v>
      </c>
      <c r="J22" s="7" t="s">
        <v>310</v>
      </c>
      <c r="K22" s="7" t="s">
        <v>50</v>
      </c>
      <c r="L22" s="7" t="s">
        <v>50</v>
      </c>
      <c r="M22" s="7"/>
      <c r="N22" s="7" t="s">
        <v>311</v>
      </c>
      <c r="O22" s="7" t="s">
        <v>312</v>
      </c>
      <c r="P22" s="7" t="s">
        <v>222</v>
      </c>
      <c r="Q22" s="7" t="s">
        <v>313</v>
      </c>
      <c r="R22" s="7" t="s">
        <v>314</v>
      </c>
      <c r="S22" s="7" t="s">
        <v>306</v>
      </c>
      <c r="T22" s="7" t="s">
        <v>56</v>
      </c>
      <c r="U22" s="7" t="s">
        <v>315</v>
      </c>
      <c r="V22" s="7" t="s">
        <v>316</v>
      </c>
      <c r="W22" s="24">
        <v>31</v>
      </c>
      <c r="X22" s="25"/>
      <c r="Y22" s="7">
        <f t="shared" si="0"/>
        <v>31</v>
      </c>
      <c r="Z22" s="7">
        <v>41182</v>
      </c>
      <c r="AA22" s="7">
        <v>0</v>
      </c>
      <c r="AB22" s="7">
        <v>20591</v>
      </c>
      <c r="AC22" s="7">
        <v>0</v>
      </c>
      <c r="AD22" s="7">
        <v>20591</v>
      </c>
      <c r="AE22" s="8">
        <f t="shared" si="1"/>
        <v>82364</v>
      </c>
      <c r="AF22" s="8">
        <f t="shared" si="2"/>
        <v>82364</v>
      </c>
      <c r="AG22" s="7"/>
      <c r="AH22" s="7"/>
      <c r="AI22" s="7">
        <v>0</v>
      </c>
      <c r="AJ22" s="7">
        <v>0</v>
      </c>
      <c r="AK22" s="10">
        <v>0</v>
      </c>
      <c r="AL22" s="8">
        <f t="shared" si="5"/>
        <v>82364</v>
      </c>
    </row>
    <row r="23" spans="1:40" ht="14.25" customHeight="1">
      <c r="A23" s="24" t="s">
        <v>293</v>
      </c>
      <c r="B23" s="7" t="s">
        <v>317</v>
      </c>
      <c r="C23" s="25" t="s">
        <v>318</v>
      </c>
      <c r="D23" s="7" t="s">
        <v>319</v>
      </c>
      <c r="E23" s="7" t="s">
        <v>86</v>
      </c>
      <c r="F23" s="7" t="s">
        <v>320</v>
      </c>
      <c r="G23" s="7"/>
      <c r="H23" s="7" t="s">
        <v>321</v>
      </c>
      <c r="I23" s="7" t="s">
        <v>219</v>
      </c>
      <c r="J23" s="7" t="s">
        <v>136</v>
      </c>
      <c r="K23" s="7" t="s">
        <v>50</v>
      </c>
      <c r="L23" s="7" t="s">
        <v>50</v>
      </c>
      <c r="M23" s="7"/>
      <c r="N23" s="7" t="s">
        <v>322</v>
      </c>
      <c r="O23" s="7" t="s">
        <v>323</v>
      </c>
      <c r="P23" s="7" t="s">
        <v>53</v>
      </c>
      <c r="Q23" s="7" t="s">
        <v>324</v>
      </c>
      <c r="R23" s="7" t="s">
        <v>325</v>
      </c>
      <c r="S23" s="7" t="s">
        <v>318</v>
      </c>
      <c r="T23" s="7" t="s">
        <v>56</v>
      </c>
      <c r="U23" s="7" t="s">
        <v>326</v>
      </c>
      <c r="V23" s="7" t="s">
        <v>327</v>
      </c>
      <c r="W23" s="24">
        <v>31</v>
      </c>
      <c r="X23" s="29">
        <v>2</v>
      </c>
      <c r="Y23" s="7">
        <f t="shared" si="0"/>
        <v>29</v>
      </c>
      <c r="Z23" s="7">
        <f>22026+2203</f>
        <v>24229</v>
      </c>
      <c r="AA23" s="7">
        <v>0</v>
      </c>
      <c r="AB23" s="7">
        <f>7637+764</f>
        <v>8401</v>
      </c>
      <c r="AC23" s="7"/>
      <c r="AD23" s="7">
        <f>6637+663</f>
        <v>7300</v>
      </c>
      <c r="AE23" s="8">
        <f t="shared" si="1"/>
        <v>39930</v>
      </c>
      <c r="AF23" s="8">
        <f t="shared" si="2"/>
        <v>37354</v>
      </c>
      <c r="AG23" s="24"/>
      <c r="AH23" s="7">
        <v>0</v>
      </c>
      <c r="AI23" s="7">
        <v>0</v>
      </c>
      <c r="AJ23" s="24">
        <v>515</v>
      </c>
      <c r="AK23" s="10">
        <v>0</v>
      </c>
      <c r="AL23" s="8">
        <f>AF23-SUM(AH23:AK23)+AG23</f>
        <v>36839</v>
      </c>
    </row>
    <row r="24" spans="1:40" ht="14.25" customHeight="1">
      <c r="A24" s="24" t="s">
        <v>293</v>
      </c>
      <c r="B24" s="7" t="s">
        <v>328</v>
      </c>
      <c r="C24" s="25" t="s">
        <v>329</v>
      </c>
      <c r="D24" s="7" t="s">
        <v>330</v>
      </c>
      <c r="E24" s="7" t="s">
        <v>86</v>
      </c>
      <c r="F24" s="7" t="s">
        <v>331</v>
      </c>
      <c r="G24" s="7"/>
      <c r="H24" s="7"/>
      <c r="I24" s="7" t="s">
        <v>219</v>
      </c>
      <c r="J24" s="7" t="s">
        <v>332</v>
      </c>
      <c r="K24" s="7" t="s">
        <v>50</v>
      </c>
      <c r="L24" s="7" t="s">
        <v>50</v>
      </c>
      <c r="M24" s="7"/>
      <c r="N24" s="7" t="s">
        <v>333</v>
      </c>
      <c r="O24" s="7" t="s">
        <v>334</v>
      </c>
      <c r="P24" s="7" t="s">
        <v>222</v>
      </c>
      <c r="Q24" s="7" t="s">
        <v>335</v>
      </c>
      <c r="R24" s="7" t="s">
        <v>336</v>
      </c>
      <c r="S24" s="7" t="s">
        <v>329</v>
      </c>
      <c r="T24" s="7" t="s">
        <v>56</v>
      </c>
      <c r="U24" s="7" t="s">
        <v>337</v>
      </c>
      <c r="V24" s="7" t="s">
        <v>338</v>
      </c>
      <c r="W24" s="24">
        <v>31</v>
      </c>
      <c r="X24" s="25"/>
      <c r="Y24" s="7">
        <f t="shared" si="0"/>
        <v>31</v>
      </c>
      <c r="Z24" s="7">
        <v>23100</v>
      </c>
      <c r="AA24" s="7">
        <v>0</v>
      </c>
      <c r="AB24" s="7">
        <v>8250</v>
      </c>
      <c r="AC24" s="7">
        <v>0</v>
      </c>
      <c r="AD24" s="7">
        <v>8250</v>
      </c>
      <c r="AE24" s="8">
        <f t="shared" si="1"/>
        <v>39600</v>
      </c>
      <c r="AF24" s="8">
        <f t="shared" si="2"/>
        <v>39600</v>
      </c>
      <c r="AG24" s="7"/>
      <c r="AH24" s="7"/>
      <c r="AI24" s="7">
        <v>0</v>
      </c>
      <c r="AJ24" s="7">
        <v>0</v>
      </c>
      <c r="AK24" s="10">
        <v>0</v>
      </c>
      <c r="AL24" s="8">
        <f t="shared" ref="AL24:AL28" si="6">AF24-SUM(AH24:AK24)</f>
        <v>39600</v>
      </c>
    </row>
    <row r="25" spans="1:40" ht="14.25" customHeight="1">
      <c r="A25" s="24" t="s">
        <v>293</v>
      </c>
      <c r="B25" s="7" t="s">
        <v>339</v>
      </c>
      <c r="C25" s="25" t="s">
        <v>340</v>
      </c>
      <c r="D25" s="7" t="s">
        <v>341</v>
      </c>
      <c r="E25" s="7" t="s">
        <v>45</v>
      </c>
      <c r="F25" s="7" t="s">
        <v>342</v>
      </c>
      <c r="G25" s="7"/>
      <c r="H25" s="7" t="s">
        <v>343</v>
      </c>
      <c r="I25" s="7" t="s">
        <v>219</v>
      </c>
      <c r="J25" s="7" t="s">
        <v>344</v>
      </c>
      <c r="K25" s="7" t="s">
        <v>50</v>
      </c>
      <c r="L25" s="7" t="s">
        <v>50</v>
      </c>
      <c r="M25" s="7"/>
      <c r="N25" s="7" t="s">
        <v>345</v>
      </c>
      <c r="O25" s="7" t="s">
        <v>346</v>
      </c>
      <c r="P25" s="7" t="s">
        <v>232</v>
      </c>
      <c r="Q25" s="7" t="s">
        <v>347</v>
      </c>
      <c r="R25" s="7" t="s">
        <v>348</v>
      </c>
      <c r="S25" s="7" t="s">
        <v>340</v>
      </c>
      <c r="T25" s="7" t="s">
        <v>56</v>
      </c>
      <c r="U25" s="7" t="s">
        <v>349</v>
      </c>
      <c r="V25" s="7" t="s">
        <v>350</v>
      </c>
      <c r="W25" s="24">
        <v>31</v>
      </c>
      <c r="X25" s="25"/>
      <c r="Y25" s="7">
        <f t="shared" si="0"/>
        <v>31</v>
      </c>
      <c r="Z25" s="7">
        <v>23100</v>
      </c>
      <c r="AA25" s="7">
        <v>0</v>
      </c>
      <c r="AB25" s="7">
        <v>7480</v>
      </c>
      <c r="AC25" s="7">
        <v>0</v>
      </c>
      <c r="AD25" s="7">
        <v>0</v>
      </c>
      <c r="AE25" s="8">
        <f t="shared" si="1"/>
        <v>30580</v>
      </c>
      <c r="AF25" s="8">
        <f t="shared" si="2"/>
        <v>30580</v>
      </c>
      <c r="AG25" s="7"/>
      <c r="AH25" s="7"/>
      <c r="AI25" s="7">
        <v>0</v>
      </c>
      <c r="AJ25" s="7">
        <v>0</v>
      </c>
      <c r="AK25" s="10">
        <v>0</v>
      </c>
      <c r="AL25" s="8">
        <f t="shared" si="6"/>
        <v>30580</v>
      </c>
    </row>
    <row r="26" spans="1:40" ht="14.25" customHeight="1">
      <c r="A26" s="24" t="s">
        <v>293</v>
      </c>
      <c r="B26" s="7" t="s">
        <v>351</v>
      </c>
      <c r="C26" s="25" t="s">
        <v>352</v>
      </c>
      <c r="D26" s="7" t="s">
        <v>341</v>
      </c>
      <c r="E26" s="7" t="s">
        <v>45</v>
      </c>
      <c r="F26" s="7" t="s">
        <v>353</v>
      </c>
      <c r="G26" s="7"/>
      <c r="H26" s="7" t="s">
        <v>354</v>
      </c>
      <c r="I26" s="7" t="s">
        <v>219</v>
      </c>
      <c r="J26" s="7" t="s">
        <v>136</v>
      </c>
      <c r="K26" s="7" t="s">
        <v>50</v>
      </c>
      <c r="L26" s="7" t="s">
        <v>50</v>
      </c>
      <c r="M26" s="7"/>
      <c r="N26" s="7" t="s">
        <v>355</v>
      </c>
      <c r="O26" s="7" t="s">
        <v>356</v>
      </c>
      <c r="P26" s="7" t="s">
        <v>232</v>
      </c>
      <c r="Q26" s="7" t="s">
        <v>357</v>
      </c>
      <c r="R26" s="7" t="s">
        <v>358</v>
      </c>
      <c r="S26" s="7" t="s">
        <v>352</v>
      </c>
      <c r="T26" s="7" t="s">
        <v>56</v>
      </c>
      <c r="U26" s="7" t="s">
        <v>359</v>
      </c>
      <c r="V26" s="7" t="s">
        <v>360</v>
      </c>
      <c r="W26" s="24">
        <v>31</v>
      </c>
      <c r="Y26" s="7">
        <f t="shared" si="0"/>
        <v>31</v>
      </c>
      <c r="Z26" s="7">
        <v>38800</v>
      </c>
      <c r="AA26" s="7">
        <v>0</v>
      </c>
      <c r="AB26" s="7">
        <v>18900</v>
      </c>
      <c r="AC26" s="7">
        <v>0</v>
      </c>
      <c r="AD26" s="7">
        <v>18900</v>
      </c>
      <c r="AE26" s="8">
        <f t="shared" si="1"/>
        <v>76600</v>
      </c>
      <c r="AF26" s="8">
        <f t="shared" si="2"/>
        <v>76600</v>
      </c>
      <c r="AG26" s="7"/>
      <c r="AH26" s="7"/>
      <c r="AI26" s="7">
        <v>1800</v>
      </c>
      <c r="AJ26" s="7">
        <v>0</v>
      </c>
      <c r="AK26" s="10">
        <v>0</v>
      </c>
      <c r="AL26" s="8">
        <f t="shared" si="6"/>
        <v>74800</v>
      </c>
    </row>
    <row r="27" spans="1:40" ht="14.25" customHeight="1">
      <c r="A27" s="24" t="s">
        <v>293</v>
      </c>
      <c r="B27" s="7" t="s">
        <v>361</v>
      </c>
      <c r="C27" s="25" t="s">
        <v>362</v>
      </c>
      <c r="D27" s="7" t="s">
        <v>341</v>
      </c>
      <c r="E27" s="7" t="s">
        <v>86</v>
      </c>
      <c r="F27" s="7" t="s">
        <v>363</v>
      </c>
      <c r="G27" s="7"/>
      <c r="H27" s="7" t="s">
        <v>364</v>
      </c>
      <c r="I27" s="7" t="s">
        <v>219</v>
      </c>
      <c r="J27" s="7" t="s">
        <v>344</v>
      </c>
      <c r="K27" s="7" t="s">
        <v>50</v>
      </c>
      <c r="L27" s="7" t="s">
        <v>50</v>
      </c>
      <c r="M27" s="7"/>
      <c r="N27" s="7" t="s">
        <v>365</v>
      </c>
      <c r="O27" s="7" t="s">
        <v>366</v>
      </c>
      <c r="P27" s="7" t="s">
        <v>222</v>
      </c>
      <c r="Q27" s="7" t="s">
        <v>367</v>
      </c>
      <c r="R27" s="7" t="s">
        <v>368</v>
      </c>
      <c r="S27" s="7" t="s">
        <v>362</v>
      </c>
      <c r="T27" s="7" t="s">
        <v>56</v>
      </c>
      <c r="U27" s="7" t="s">
        <v>369</v>
      </c>
      <c r="V27" s="7" t="s">
        <v>370</v>
      </c>
      <c r="W27" s="24">
        <v>31</v>
      </c>
      <c r="X27" s="25"/>
      <c r="Y27" s="7">
        <f t="shared" si="0"/>
        <v>31</v>
      </c>
      <c r="Z27" s="7">
        <v>23100</v>
      </c>
      <c r="AA27" s="7">
        <v>0</v>
      </c>
      <c r="AB27" s="7">
        <v>7150</v>
      </c>
      <c r="AC27" s="7">
        <v>0</v>
      </c>
      <c r="AD27" s="7">
        <v>0</v>
      </c>
      <c r="AE27" s="8">
        <f t="shared" si="1"/>
        <v>30250</v>
      </c>
      <c r="AF27" s="8">
        <f t="shared" si="2"/>
        <v>30250</v>
      </c>
      <c r="AG27" s="7"/>
      <c r="AH27" s="7"/>
      <c r="AI27" s="7">
        <v>0</v>
      </c>
      <c r="AJ27" s="7">
        <v>0</v>
      </c>
      <c r="AK27" s="10">
        <v>0</v>
      </c>
      <c r="AL27" s="8">
        <f t="shared" si="6"/>
        <v>30250</v>
      </c>
    </row>
    <row r="28" spans="1:40" ht="14.25" customHeight="1">
      <c r="A28" s="24" t="s">
        <v>293</v>
      </c>
      <c r="B28" s="7" t="s">
        <v>371</v>
      </c>
      <c r="C28" s="25" t="s">
        <v>372</v>
      </c>
      <c r="D28" s="7" t="s">
        <v>341</v>
      </c>
      <c r="E28" s="7" t="s">
        <v>86</v>
      </c>
      <c r="F28" s="7" t="s">
        <v>373</v>
      </c>
      <c r="G28" s="7"/>
      <c r="H28" s="7" t="s">
        <v>374</v>
      </c>
      <c r="I28" s="7" t="s">
        <v>219</v>
      </c>
      <c r="J28" s="7" t="s">
        <v>136</v>
      </c>
      <c r="K28" s="7" t="s">
        <v>50</v>
      </c>
      <c r="L28" s="7" t="s">
        <v>50</v>
      </c>
      <c r="M28" s="7"/>
      <c r="N28" s="7" t="s">
        <v>375</v>
      </c>
      <c r="O28" s="7" t="s">
        <v>376</v>
      </c>
      <c r="P28" s="7" t="s">
        <v>377</v>
      </c>
      <c r="Q28" s="7" t="s">
        <v>378</v>
      </c>
      <c r="R28" s="7" t="s">
        <v>379</v>
      </c>
      <c r="S28" s="7" t="s">
        <v>380</v>
      </c>
      <c r="T28" s="7" t="s">
        <v>56</v>
      </c>
      <c r="U28" s="7" t="s">
        <v>381</v>
      </c>
      <c r="V28" s="7" t="s">
        <v>382</v>
      </c>
      <c r="W28" s="24">
        <v>31</v>
      </c>
      <c r="X28" s="25"/>
      <c r="Y28" s="7">
        <f t="shared" si="0"/>
        <v>31</v>
      </c>
      <c r="Z28" s="7">
        <v>23100</v>
      </c>
      <c r="AA28" s="7">
        <v>0</v>
      </c>
      <c r="AB28" s="7">
        <v>7700</v>
      </c>
      <c r="AC28" s="7">
        <v>0</v>
      </c>
      <c r="AD28" s="7">
        <v>7700</v>
      </c>
      <c r="AE28" s="8">
        <f t="shared" si="1"/>
        <v>38500</v>
      </c>
      <c r="AF28" s="8">
        <f t="shared" si="2"/>
        <v>38500</v>
      </c>
      <c r="AG28" s="7"/>
      <c r="AH28" s="7"/>
      <c r="AI28" s="7">
        <v>0</v>
      </c>
      <c r="AJ28" s="7">
        <v>0</v>
      </c>
      <c r="AK28" s="10">
        <v>0</v>
      </c>
      <c r="AL28" s="8">
        <f t="shared" si="6"/>
        <v>38500</v>
      </c>
    </row>
    <row r="29" spans="1:40" ht="14.25" customHeight="1">
      <c r="A29" s="24" t="s">
        <v>293</v>
      </c>
      <c r="B29" s="7" t="s">
        <v>383</v>
      </c>
      <c r="C29" s="25" t="s">
        <v>384</v>
      </c>
      <c r="D29" s="7" t="s">
        <v>385</v>
      </c>
      <c r="E29" s="7" t="s">
        <v>45</v>
      </c>
      <c r="F29" s="7" t="s">
        <v>386</v>
      </c>
      <c r="G29" s="7"/>
      <c r="H29" s="7" t="s">
        <v>387</v>
      </c>
      <c r="I29" s="7" t="s">
        <v>219</v>
      </c>
      <c r="J29" s="7" t="s">
        <v>136</v>
      </c>
      <c r="K29" s="7" t="s">
        <v>50</v>
      </c>
      <c r="L29" s="7" t="s">
        <v>50</v>
      </c>
      <c r="M29" s="7"/>
      <c r="N29" s="7" t="s">
        <v>388</v>
      </c>
      <c r="O29" s="7" t="s">
        <v>389</v>
      </c>
      <c r="P29" s="7" t="s">
        <v>184</v>
      </c>
      <c r="Q29" s="7" t="s">
        <v>390</v>
      </c>
      <c r="R29" s="7" t="s">
        <v>391</v>
      </c>
      <c r="S29" s="7" t="s">
        <v>392</v>
      </c>
      <c r="T29" s="7" t="s">
        <v>56</v>
      </c>
      <c r="U29" s="7" t="s">
        <v>393</v>
      </c>
      <c r="V29" s="7" t="s">
        <v>394</v>
      </c>
      <c r="W29" s="24">
        <v>31</v>
      </c>
      <c r="X29" s="27">
        <f>LOP!R36</f>
        <v>2</v>
      </c>
      <c r="Y29" s="7">
        <f t="shared" si="0"/>
        <v>29</v>
      </c>
      <c r="Z29" s="7">
        <v>30250</v>
      </c>
      <c r="AA29" s="7">
        <v>0</v>
      </c>
      <c r="AB29" s="7">
        <v>15125</v>
      </c>
      <c r="AC29" s="7">
        <v>0</v>
      </c>
      <c r="AD29" s="7">
        <v>15125</v>
      </c>
      <c r="AE29" s="8">
        <f t="shared" si="1"/>
        <v>60500</v>
      </c>
      <c r="AF29" s="8">
        <f t="shared" si="2"/>
        <v>56597</v>
      </c>
      <c r="AG29" s="7"/>
      <c r="AH29" s="7"/>
      <c r="AI29" s="7">
        <v>0</v>
      </c>
      <c r="AJ29" s="7">
        <v>0</v>
      </c>
      <c r="AK29" s="10">
        <v>0</v>
      </c>
      <c r="AL29" s="8">
        <f>AF29-SUM(AH29:AK29)-AG29</f>
        <v>56597</v>
      </c>
    </row>
    <row r="30" spans="1:40" ht="14.25" customHeight="1">
      <c r="A30" s="24" t="s">
        <v>293</v>
      </c>
      <c r="B30" s="7" t="s">
        <v>395</v>
      </c>
      <c r="C30" s="25" t="s">
        <v>396</v>
      </c>
      <c r="D30" s="7" t="s">
        <v>397</v>
      </c>
      <c r="E30" s="7" t="s">
        <v>45</v>
      </c>
      <c r="F30" s="7" t="s">
        <v>398</v>
      </c>
      <c r="G30" s="7"/>
      <c r="H30" s="7" t="s">
        <v>399</v>
      </c>
      <c r="I30" s="7" t="s">
        <v>219</v>
      </c>
      <c r="J30" s="7" t="s">
        <v>136</v>
      </c>
      <c r="K30" s="7" t="s">
        <v>50</v>
      </c>
      <c r="L30" s="7" t="s">
        <v>50</v>
      </c>
      <c r="M30" s="7"/>
      <c r="N30" s="7" t="s">
        <v>400</v>
      </c>
      <c r="O30" s="7" t="s">
        <v>401</v>
      </c>
      <c r="P30" s="7" t="s">
        <v>232</v>
      </c>
      <c r="Q30" s="7" t="s">
        <v>402</v>
      </c>
      <c r="R30" s="7" t="s">
        <v>234</v>
      </c>
      <c r="S30" s="7" t="s">
        <v>396</v>
      </c>
      <c r="T30" s="7" t="s">
        <v>56</v>
      </c>
      <c r="U30" s="7" t="s">
        <v>403</v>
      </c>
      <c r="V30" s="7" t="s">
        <v>404</v>
      </c>
      <c r="W30" s="24">
        <v>31</v>
      </c>
      <c r="X30" s="25"/>
      <c r="Y30" s="7">
        <f t="shared" si="0"/>
        <v>31</v>
      </c>
      <c r="Z30" s="7">
        <v>24750</v>
      </c>
      <c r="AA30" s="7">
        <v>0</v>
      </c>
      <c r="AB30" s="7">
        <v>12375</v>
      </c>
      <c r="AC30" s="7">
        <v>0</v>
      </c>
      <c r="AD30" s="7">
        <v>12375</v>
      </c>
      <c r="AE30" s="8">
        <f t="shared" si="1"/>
        <v>49500</v>
      </c>
      <c r="AF30" s="8">
        <f t="shared" si="2"/>
        <v>49500</v>
      </c>
      <c r="AG30" s="7"/>
      <c r="AH30" s="7"/>
      <c r="AI30" s="7">
        <v>0</v>
      </c>
      <c r="AJ30" s="7">
        <v>0</v>
      </c>
      <c r="AK30" s="10">
        <v>0</v>
      </c>
      <c r="AL30" s="8">
        <f t="shared" ref="AL30:AL33" si="7">AF30-SUM(AH30:AK30)</f>
        <v>49500</v>
      </c>
      <c r="AN30" s="2">
        <f>AE30-AL30</f>
        <v>0</v>
      </c>
    </row>
    <row r="31" spans="1:40" ht="14.25" customHeight="1">
      <c r="A31" s="24" t="s">
        <v>293</v>
      </c>
      <c r="B31" s="7" t="s">
        <v>405</v>
      </c>
      <c r="C31" s="25" t="s">
        <v>406</v>
      </c>
      <c r="D31" s="7" t="s">
        <v>407</v>
      </c>
      <c r="E31" s="7" t="s">
        <v>45</v>
      </c>
      <c r="F31" s="7" t="s">
        <v>408</v>
      </c>
      <c r="G31" s="7"/>
      <c r="H31" s="7" t="s">
        <v>409</v>
      </c>
      <c r="I31" s="7" t="s">
        <v>219</v>
      </c>
      <c r="J31" s="7" t="s">
        <v>136</v>
      </c>
      <c r="K31" s="7" t="s">
        <v>50</v>
      </c>
      <c r="L31" s="7" t="s">
        <v>50</v>
      </c>
      <c r="M31" s="7"/>
      <c r="N31" s="7" t="s">
        <v>410</v>
      </c>
      <c r="O31" s="7" t="s">
        <v>411</v>
      </c>
      <c r="P31" s="7" t="s">
        <v>412</v>
      </c>
      <c r="Q31" s="7" t="s">
        <v>413</v>
      </c>
      <c r="R31" s="7" t="s">
        <v>414</v>
      </c>
      <c r="S31" s="7" t="s">
        <v>406</v>
      </c>
      <c r="T31" s="7" t="s">
        <v>56</v>
      </c>
      <c r="U31" s="7" t="s">
        <v>415</v>
      </c>
      <c r="V31" s="7" t="s">
        <v>416</v>
      </c>
      <c r="W31" s="24">
        <v>31</v>
      </c>
      <c r="X31" s="25"/>
      <c r="Y31" s="7">
        <f t="shared" si="0"/>
        <v>31</v>
      </c>
      <c r="Z31" s="7">
        <v>26500</v>
      </c>
      <c r="AA31" s="7">
        <v>0</v>
      </c>
      <c r="AB31" s="7">
        <v>9000</v>
      </c>
      <c r="AC31" s="7">
        <v>0</v>
      </c>
      <c r="AD31" s="7">
        <v>6500</v>
      </c>
      <c r="AE31" s="8">
        <f t="shared" si="1"/>
        <v>42000</v>
      </c>
      <c r="AF31" s="8">
        <f t="shared" si="2"/>
        <v>42000</v>
      </c>
      <c r="AG31" s="7"/>
      <c r="AH31" s="7"/>
      <c r="AI31" s="7">
        <v>0</v>
      </c>
      <c r="AJ31" s="7">
        <v>0</v>
      </c>
      <c r="AK31" s="10">
        <v>0</v>
      </c>
      <c r="AL31" s="30">
        <f t="shared" si="7"/>
        <v>42000</v>
      </c>
    </row>
    <row r="32" spans="1:40" ht="14.25" customHeight="1">
      <c r="A32" s="24" t="s">
        <v>293</v>
      </c>
      <c r="B32" s="7" t="s">
        <v>417</v>
      </c>
      <c r="C32" s="25" t="s">
        <v>418</v>
      </c>
      <c r="D32" s="7" t="s">
        <v>419</v>
      </c>
      <c r="E32" s="7" t="s">
        <v>86</v>
      </c>
      <c r="F32" s="7" t="s">
        <v>420</v>
      </c>
      <c r="G32" s="7"/>
      <c r="H32" s="7" t="s">
        <v>421</v>
      </c>
      <c r="I32" s="7" t="s">
        <v>219</v>
      </c>
      <c r="J32" s="7" t="s">
        <v>422</v>
      </c>
      <c r="K32" s="7" t="s">
        <v>50</v>
      </c>
      <c r="L32" s="7" t="s">
        <v>50</v>
      </c>
      <c r="M32" s="7"/>
      <c r="N32" s="7" t="s">
        <v>423</v>
      </c>
      <c r="O32" s="7" t="s">
        <v>424</v>
      </c>
      <c r="P32" s="7" t="s">
        <v>222</v>
      </c>
      <c r="Q32" s="7" t="s">
        <v>425</v>
      </c>
      <c r="R32" s="7" t="s">
        <v>426</v>
      </c>
      <c r="S32" s="7" t="s">
        <v>418</v>
      </c>
      <c r="T32" s="7" t="s">
        <v>56</v>
      </c>
      <c r="U32" s="7" t="s">
        <v>427</v>
      </c>
      <c r="V32" s="7" t="s">
        <v>428</v>
      </c>
      <c r="W32" s="24">
        <v>31</v>
      </c>
      <c r="X32" s="25"/>
      <c r="Y32" s="7">
        <f t="shared" si="0"/>
        <v>31</v>
      </c>
      <c r="Z32" s="7">
        <v>54167</v>
      </c>
      <c r="AA32" s="7">
        <v>0</v>
      </c>
      <c r="AB32" s="7">
        <v>27083</v>
      </c>
      <c r="AC32" s="7">
        <v>0</v>
      </c>
      <c r="AD32" s="7">
        <v>27083</v>
      </c>
      <c r="AE32" s="8">
        <f t="shared" si="1"/>
        <v>108333</v>
      </c>
      <c r="AF32" s="8">
        <f t="shared" si="2"/>
        <v>108333</v>
      </c>
      <c r="AG32" s="7"/>
      <c r="AH32" s="9">
        <f>TDS!F52</f>
        <v>6315.3934999999992</v>
      </c>
      <c r="AI32" s="7">
        <v>0</v>
      </c>
      <c r="AJ32" s="7">
        <v>0</v>
      </c>
      <c r="AK32" s="10">
        <v>0</v>
      </c>
      <c r="AL32" s="8">
        <f t="shared" si="7"/>
        <v>102017.60649999999</v>
      </c>
    </row>
    <row r="33" spans="1:38" ht="14.25" customHeight="1">
      <c r="A33" s="24" t="s">
        <v>293</v>
      </c>
      <c r="B33" s="7" t="s">
        <v>429</v>
      </c>
      <c r="C33" s="25" t="s">
        <v>430</v>
      </c>
      <c r="D33" s="7" t="s">
        <v>431</v>
      </c>
      <c r="E33" s="7" t="s">
        <v>45</v>
      </c>
      <c r="F33" s="7" t="s">
        <v>432</v>
      </c>
      <c r="G33" s="7"/>
      <c r="H33" s="7" t="s">
        <v>433</v>
      </c>
      <c r="I33" s="7" t="s">
        <v>219</v>
      </c>
      <c r="J33" s="7" t="s">
        <v>434</v>
      </c>
      <c r="K33" s="7" t="s">
        <v>50</v>
      </c>
      <c r="L33" s="7" t="s">
        <v>50</v>
      </c>
      <c r="M33" s="7"/>
      <c r="N33" s="7" t="s">
        <v>435</v>
      </c>
      <c r="O33" s="7" t="s">
        <v>436</v>
      </c>
      <c r="P33" s="7" t="s">
        <v>232</v>
      </c>
      <c r="Q33" s="7" t="s">
        <v>437</v>
      </c>
      <c r="R33" s="7" t="s">
        <v>438</v>
      </c>
      <c r="S33" s="7" t="s">
        <v>430</v>
      </c>
      <c r="T33" s="7" t="s">
        <v>56</v>
      </c>
      <c r="U33" s="7" t="s">
        <v>439</v>
      </c>
      <c r="V33" s="7" t="s">
        <v>440</v>
      </c>
      <c r="W33" s="24">
        <v>31</v>
      </c>
      <c r="X33" s="25"/>
      <c r="Y33" s="7">
        <f t="shared" si="0"/>
        <v>31</v>
      </c>
      <c r="Z33" s="7">
        <v>43920</v>
      </c>
      <c r="AA33" s="7">
        <v>0</v>
      </c>
      <c r="AB33" s="7">
        <v>19440</v>
      </c>
      <c r="AC33" s="7">
        <v>0</v>
      </c>
      <c r="AD33" s="7">
        <v>14640</v>
      </c>
      <c r="AE33" s="8">
        <f t="shared" si="1"/>
        <v>78000</v>
      </c>
      <c r="AF33" s="8">
        <f t="shared" si="2"/>
        <v>78000</v>
      </c>
      <c r="AG33" s="7"/>
      <c r="AH33" s="7"/>
      <c r="AI33" s="7">
        <v>0</v>
      </c>
      <c r="AJ33" s="7">
        <v>0</v>
      </c>
      <c r="AK33" s="10">
        <v>0</v>
      </c>
      <c r="AL33" s="8">
        <f t="shared" si="7"/>
        <v>78000</v>
      </c>
    </row>
    <row r="34" spans="1:38" ht="14.25" customHeight="1">
      <c r="A34" s="24" t="s">
        <v>293</v>
      </c>
      <c r="B34" s="7" t="s">
        <v>441</v>
      </c>
      <c r="C34" s="25" t="s">
        <v>442</v>
      </c>
      <c r="D34" s="7" t="s">
        <v>443</v>
      </c>
      <c r="E34" s="7" t="s">
        <v>86</v>
      </c>
      <c r="F34" s="7" t="s">
        <v>444</v>
      </c>
      <c r="G34" s="7"/>
      <c r="H34" s="7" t="s">
        <v>445</v>
      </c>
      <c r="I34" s="7" t="s">
        <v>219</v>
      </c>
      <c r="J34" s="7" t="s">
        <v>446</v>
      </c>
      <c r="K34" s="7" t="s">
        <v>50</v>
      </c>
      <c r="L34" s="7" t="s">
        <v>50</v>
      </c>
      <c r="M34" s="7"/>
      <c r="N34" s="7" t="s">
        <v>447</v>
      </c>
      <c r="O34" s="7" t="s">
        <v>448</v>
      </c>
      <c r="P34" s="7" t="s">
        <v>232</v>
      </c>
      <c r="Q34" s="7" t="s">
        <v>449</v>
      </c>
      <c r="R34" s="7" t="s">
        <v>450</v>
      </c>
      <c r="S34" s="7" t="s">
        <v>445</v>
      </c>
      <c r="T34" s="7" t="s">
        <v>56</v>
      </c>
      <c r="U34" s="7" t="s">
        <v>451</v>
      </c>
      <c r="V34" s="7" t="s">
        <v>452</v>
      </c>
      <c r="W34" s="24">
        <v>31</v>
      </c>
      <c r="X34" s="25"/>
      <c r="Y34" s="7">
        <f t="shared" si="0"/>
        <v>31</v>
      </c>
      <c r="Z34" s="24">
        <v>35457</v>
      </c>
      <c r="AA34" s="7">
        <v>0</v>
      </c>
      <c r="AB34" s="24">
        <v>16032</v>
      </c>
      <c r="AC34" s="7">
        <v>0</v>
      </c>
      <c r="AD34" s="24">
        <v>12511</v>
      </c>
      <c r="AE34" s="8">
        <f t="shared" si="1"/>
        <v>64000</v>
      </c>
      <c r="AF34" s="8">
        <f t="shared" si="2"/>
        <v>64000</v>
      </c>
      <c r="AG34" s="7"/>
      <c r="AH34" s="7"/>
      <c r="AI34" s="7">
        <v>0</v>
      </c>
      <c r="AJ34" s="7">
        <v>0</v>
      </c>
      <c r="AK34" s="10">
        <v>0</v>
      </c>
      <c r="AL34" s="8">
        <f>AF34-SUM(AH34:AK34)+AG34</f>
        <v>64000</v>
      </c>
    </row>
    <row r="35" spans="1:38" ht="14.25" customHeight="1">
      <c r="A35" s="24" t="s">
        <v>293</v>
      </c>
      <c r="B35" s="7" t="s">
        <v>453</v>
      </c>
      <c r="C35" s="25" t="s">
        <v>454</v>
      </c>
      <c r="D35" s="7" t="s">
        <v>455</v>
      </c>
      <c r="E35" s="7" t="s">
        <v>45</v>
      </c>
      <c r="F35" s="7" t="s">
        <v>456</v>
      </c>
      <c r="G35" s="7"/>
      <c r="H35" s="7" t="s">
        <v>457</v>
      </c>
      <c r="I35" s="7" t="s">
        <v>219</v>
      </c>
      <c r="J35" s="7" t="s">
        <v>76</v>
      </c>
      <c r="K35" s="7" t="s">
        <v>50</v>
      </c>
      <c r="L35" s="7" t="s">
        <v>50</v>
      </c>
      <c r="M35" s="7"/>
      <c r="N35" s="7" t="s">
        <v>458</v>
      </c>
      <c r="O35" s="7" t="s">
        <v>459</v>
      </c>
      <c r="P35" s="7" t="s">
        <v>232</v>
      </c>
      <c r="Q35" s="7" t="s">
        <v>460</v>
      </c>
      <c r="R35" s="7" t="s">
        <v>234</v>
      </c>
      <c r="S35" s="7" t="s">
        <v>454</v>
      </c>
      <c r="T35" s="7" t="s">
        <v>174</v>
      </c>
      <c r="U35" s="7" t="s">
        <v>461</v>
      </c>
      <c r="V35" s="7" t="s">
        <v>462</v>
      </c>
      <c r="W35" s="24">
        <v>31</v>
      </c>
      <c r="X35" s="25"/>
      <c r="Y35" s="7">
        <f t="shared" si="0"/>
        <v>31</v>
      </c>
      <c r="Z35" s="7">
        <f>25000+2500</f>
        <v>27500</v>
      </c>
      <c r="AA35" s="7">
        <v>0</v>
      </c>
      <c r="AB35" s="7">
        <f>11000+1100</f>
        <v>12100</v>
      </c>
      <c r="AC35" s="7">
        <v>0</v>
      </c>
      <c r="AD35" s="7">
        <f>8000+800</f>
        <v>8800</v>
      </c>
      <c r="AE35" s="8">
        <f t="shared" si="1"/>
        <v>48400</v>
      </c>
      <c r="AF35" s="8">
        <f t="shared" si="2"/>
        <v>48400</v>
      </c>
      <c r="AG35" s="7"/>
      <c r="AH35" s="7"/>
      <c r="AI35" s="7">
        <v>0</v>
      </c>
      <c r="AJ35" s="7">
        <v>0</v>
      </c>
      <c r="AK35" s="10">
        <v>0</v>
      </c>
      <c r="AL35" s="8">
        <f t="shared" ref="AL35:AL41" si="8">AF35-SUM(AH35:AK35)</f>
        <v>48400</v>
      </c>
    </row>
    <row r="36" spans="1:38" ht="14.25" customHeight="1">
      <c r="A36" s="24" t="s">
        <v>293</v>
      </c>
      <c r="B36" s="7" t="s">
        <v>463</v>
      </c>
      <c r="C36" s="25" t="s">
        <v>464</v>
      </c>
      <c r="D36" s="7" t="s">
        <v>465</v>
      </c>
      <c r="E36" s="7" t="s">
        <v>45</v>
      </c>
      <c r="F36" s="7" t="s">
        <v>466</v>
      </c>
      <c r="G36" s="7"/>
      <c r="H36" s="7" t="s">
        <v>467</v>
      </c>
      <c r="I36" s="7" t="s">
        <v>219</v>
      </c>
      <c r="J36" s="7" t="s">
        <v>136</v>
      </c>
      <c r="K36" s="7" t="s">
        <v>50</v>
      </c>
      <c r="L36" s="7" t="s">
        <v>50</v>
      </c>
      <c r="M36" s="7"/>
      <c r="N36" s="7" t="s">
        <v>468</v>
      </c>
      <c r="O36" s="7" t="s">
        <v>469</v>
      </c>
      <c r="P36" s="7" t="s">
        <v>232</v>
      </c>
      <c r="Q36" s="31">
        <v>50100832643671</v>
      </c>
      <c r="R36" s="7" t="s">
        <v>234</v>
      </c>
      <c r="S36" s="7" t="s">
        <v>464</v>
      </c>
      <c r="T36" s="7" t="s">
        <v>174</v>
      </c>
      <c r="U36" s="7" t="s">
        <v>470</v>
      </c>
      <c r="V36" s="7" t="s">
        <v>471</v>
      </c>
      <c r="W36" s="24">
        <v>31</v>
      </c>
      <c r="X36" s="25"/>
      <c r="Y36" s="7">
        <f t="shared" si="0"/>
        <v>31</v>
      </c>
      <c r="Z36" s="7">
        <v>23500</v>
      </c>
      <c r="AA36" s="7">
        <v>0</v>
      </c>
      <c r="AB36" s="7">
        <v>5500</v>
      </c>
      <c r="AC36" s="7">
        <v>0</v>
      </c>
      <c r="AD36" s="7">
        <v>0</v>
      </c>
      <c r="AE36" s="8">
        <f t="shared" si="1"/>
        <v>29000</v>
      </c>
      <c r="AF36" s="8">
        <f t="shared" si="2"/>
        <v>29000</v>
      </c>
      <c r="AG36" s="7"/>
      <c r="AH36" s="7"/>
      <c r="AI36" s="7">
        <v>0</v>
      </c>
      <c r="AJ36" s="7">
        <v>0</v>
      </c>
      <c r="AK36" s="10">
        <v>0</v>
      </c>
      <c r="AL36" s="8">
        <f t="shared" si="8"/>
        <v>29000</v>
      </c>
    </row>
    <row r="37" spans="1:38" ht="14.25" customHeight="1">
      <c r="A37" s="24" t="s">
        <v>293</v>
      </c>
      <c r="B37" s="7" t="s">
        <v>472</v>
      </c>
      <c r="C37" s="25" t="s">
        <v>473</v>
      </c>
      <c r="D37" s="7" t="s">
        <v>474</v>
      </c>
      <c r="E37" s="7" t="s">
        <v>45</v>
      </c>
      <c r="F37" s="7" t="s">
        <v>475</v>
      </c>
      <c r="G37" s="7"/>
      <c r="H37" s="7" t="s">
        <v>476</v>
      </c>
      <c r="I37" s="7" t="s">
        <v>219</v>
      </c>
      <c r="J37" s="7" t="s">
        <v>422</v>
      </c>
      <c r="K37" s="7" t="s">
        <v>50</v>
      </c>
      <c r="L37" s="7" t="s">
        <v>50</v>
      </c>
      <c r="M37" s="7"/>
      <c r="N37" s="7" t="s">
        <v>477</v>
      </c>
      <c r="O37" s="7" t="s">
        <v>478</v>
      </c>
      <c r="P37" s="7" t="s">
        <v>232</v>
      </c>
      <c r="Q37" s="7" t="s">
        <v>479</v>
      </c>
      <c r="R37" s="7" t="s">
        <v>480</v>
      </c>
      <c r="S37" s="7" t="s">
        <v>473</v>
      </c>
      <c r="T37" s="7" t="s">
        <v>174</v>
      </c>
      <c r="U37" s="7" t="s">
        <v>481</v>
      </c>
      <c r="V37" s="7" t="s">
        <v>482</v>
      </c>
      <c r="W37" s="24">
        <v>31</v>
      </c>
      <c r="X37" s="25"/>
      <c r="Y37" s="7">
        <f t="shared" si="0"/>
        <v>31</v>
      </c>
      <c r="Z37" s="7">
        <v>37400</v>
      </c>
      <c r="AA37" s="7">
        <v>0</v>
      </c>
      <c r="AB37" s="7">
        <v>18700</v>
      </c>
      <c r="AC37" s="7">
        <v>0</v>
      </c>
      <c r="AD37" s="7">
        <v>18700</v>
      </c>
      <c r="AE37" s="8">
        <f t="shared" si="1"/>
        <v>74800</v>
      </c>
      <c r="AF37" s="8">
        <f t="shared" si="2"/>
        <v>74800</v>
      </c>
      <c r="AG37" s="7"/>
      <c r="AH37" s="7"/>
      <c r="AI37" s="7">
        <v>0</v>
      </c>
      <c r="AJ37" s="7">
        <v>0</v>
      </c>
      <c r="AK37" s="10">
        <v>0</v>
      </c>
      <c r="AL37" s="8">
        <f t="shared" si="8"/>
        <v>74800</v>
      </c>
    </row>
    <row r="38" spans="1:38" ht="14.25" customHeight="1">
      <c r="A38" s="24" t="s">
        <v>293</v>
      </c>
      <c r="B38" s="7" t="s">
        <v>483</v>
      </c>
      <c r="C38" s="25" t="s">
        <v>484</v>
      </c>
      <c r="D38" s="7" t="s">
        <v>485</v>
      </c>
      <c r="E38" s="7" t="s">
        <v>45</v>
      </c>
      <c r="F38" s="7" t="s">
        <v>486</v>
      </c>
      <c r="G38" s="7"/>
      <c r="H38" s="7" t="s">
        <v>487</v>
      </c>
      <c r="I38" s="7" t="s">
        <v>219</v>
      </c>
      <c r="J38" s="7" t="s">
        <v>446</v>
      </c>
      <c r="K38" s="7" t="s">
        <v>50</v>
      </c>
      <c r="L38" s="7" t="s">
        <v>50</v>
      </c>
      <c r="M38" s="7"/>
      <c r="N38" s="7" t="s">
        <v>488</v>
      </c>
      <c r="O38" s="7" t="s">
        <v>489</v>
      </c>
      <c r="P38" s="7" t="s">
        <v>53</v>
      </c>
      <c r="Q38" s="7" t="s">
        <v>490</v>
      </c>
      <c r="R38" s="7" t="s">
        <v>491</v>
      </c>
      <c r="S38" s="7" t="s">
        <v>484</v>
      </c>
      <c r="T38" s="7" t="s">
        <v>174</v>
      </c>
      <c r="U38" s="7" t="s">
        <v>492</v>
      </c>
      <c r="V38" s="7" t="s">
        <v>493</v>
      </c>
      <c r="W38" s="24">
        <v>31</v>
      </c>
      <c r="X38" s="25"/>
      <c r="Y38" s="7">
        <f t="shared" si="0"/>
        <v>31</v>
      </c>
      <c r="Z38" s="7">
        <v>27500</v>
      </c>
      <c r="AA38" s="7">
        <v>0</v>
      </c>
      <c r="AB38" s="7">
        <v>13750</v>
      </c>
      <c r="AC38" s="7">
        <v>0</v>
      </c>
      <c r="AD38" s="7">
        <v>13750</v>
      </c>
      <c r="AE38" s="8">
        <f t="shared" si="1"/>
        <v>55000</v>
      </c>
      <c r="AF38" s="8">
        <f t="shared" si="2"/>
        <v>55000</v>
      </c>
      <c r="AG38" s="7"/>
      <c r="AH38" s="7"/>
      <c r="AI38" s="7">
        <v>0</v>
      </c>
      <c r="AJ38" s="7">
        <v>0</v>
      </c>
      <c r="AK38" s="10">
        <v>0</v>
      </c>
      <c r="AL38" s="8">
        <f t="shared" si="8"/>
        <v>55000</v>
      </c>
    </row>
    <row r="39" spans="1:38" ht="14.25" customHeight="1">
      <c r="A39" s="24" t="s">
        <v>293</v>
      </c>
      <c r="B39" s="7" t="s">
        <v>494</v>
      </c>
      <c r="C39" s="25" t="s">
        <v>495</v>
      </c>
      <c r="D39" s="7" t="s">
        <v>485</v>
      </c>
      <c r="E39" s="7" t="s">
        <v>45</v>
      </c>
      <c r="F39" s="7" t="s">
        <v>496</v>
      </c>
      <c r="G39" s="7"/>
      <c r="H39" s="7" t="s">
        <v>497</v>
      </c>
      <c r="I39" s="7" t="s">
        <v>219</v>
      </c>
      <c r="J39" s="7" t="s">
        <v>136</v>
      </c>
      <c r="K39" s="7" t="s">
        <v>50</v>
      </c>
      <c r="L39" s="7" t="s">
        <v>50</v>
      </c>
      <c r="M39" s="7"/>
      <c r="N39" s="7" t="s">
        <v>498</v>
      </c>
      <c r="O39" s="7" t="s">
        <v>499</v>
      </c>
      <c r="P39" s="7" t="s">
        <v>232</v>
      </c>
      <c r="Q39" s="7" t="s">
        <v>500</v>
      </c>
      <c r="R39" s="7" t="s">
        <v>501</v>
      </c>
      <c r="S39" s="7" t="s">
        <v>495</v>
      </c>
      <c r="T39" s="7" t="s">
        <v>174</v>
      </c>
      <c r="U39" s="7" t="s">
        <v>502</v>
      </c>
      <c r="V39" s="7" t="s">
        <v>503</v>
      </c>
      <c r="W39" s="24">
        <v>31</v>
      </c>
      <c r="X39" s="25"/>
      <c r="Y39" s="7">
        <f t="shared" si="0"/>
        <v>31</v>
      </c>
      <c r="Z39" s="7">
        <v>23100</v>
      </c>
      <c r="AA39" s="7">
        <v>0</v>
      </c>
      <c r="AB39" s="7">
        <v>11550</v>
      </c>
      <c r="AC39" s="7">
        <v>0</v>
      </c>
      <c r="AD39" s="7">
        <v>11550</v>
      </c>
      <c r="AE39" s="8">
        <f t="shared" si="1"/>
        <v>46200</v>
      </c>
      <c r="AF39" s="8">
        <f t="shared" si="2"/>
        <v>46200</v>
      </c>
      <c r="AG39" s="7"/>
      <c r="AH39" s="7"/>
      <c r="AI39" s="7">
        <v>0</v>
      </c>
      <c r="AJ39" s="7">
        <v>0</v>
      </c>
      <c r="AK39" s="10">
        <v>0</v>
      </c>
      <c r="AL39" s="8">
        <f t="shared" si="8"/>
        <v>46200</v>
      </c>
    </row>
    <row r="40" spans="1:38" ht="14.25" customHeight="1">
      <c r="A40" s="24" t="s">
        <v>293</v>
      </c>
      <c r="B40" s="7" t="s">
        <v>504</v>
      </c>
      <c r="C40" s="25" t="s">
        <v>505</v>
      </c>
      <c r="D40" s="7" t="s">
        <v>485</v>
      </c>
      <c r="E40" s="7" t="s">
        <v>45</v>
      </c>
      <c r="F40" s="7" t="s">
        <v>506</v>
      </c>
      <c r="G40" s="7"/>
      <c r="H40" s="7" t="s">
        <v>507</v>
      </c>
      <c r="I40" s="7" t="s">
        <v>219</v>
      </c>
      <c r="J40" s="7" t="s">
        <v>508</v>
      </c>
      <c r="K40" s="7" t="s">
        <v>50</v>
      </c>
      <c r="L40" s="7" t="s">
        <v>50</v>
      </c>
      <c r="M40" s="7"/>
      <c r="N40" s="7" t="s">
        <v>509</v>
      </c>
      <c r="O40" s="7" t="s">
        <v>510</v>
      </c>
      <c r="P40" s="7" t="s">
        <v>232</v>
      </c>
      <c r="Q40" s="7" t="s">
        <v>511</v>
      </c>
      <c r="R40" s="7" t="s">
        <v>512</v>
      </c>
      <c r="S40" s="7" t="s">
        <v>505</v>
      </c>
      <c r="T40" s="7" t="s">
        <v>174</v>
      </c>
      <c r="U40" s="7" t="s">
        <v>513</v>
      </c>
      <c r="V40" s="7" t="s">
        <v>514</v>
      </c>
      <c r="W40" s="24">
        <v>31</v>
      </c>
      <c r="X40" s="25">
        <f>LOP!R50</f>
        <v>0.5</v>
      </c>
      <c r="Y40" s="7">
        <f t="shared" si="0"/>
        <v>30.5</v>
      </c>
      <c r="Z40" s="7">
        <v>22000</v>
      </c>
      <c r="AA40" s="7">
        <v>0</v>
      </c>
      <c r="AB40" s="7">
        <f>4000-1000</f>
        <v>3000</v>
      </c>
      <c r="AC40" s="7">
        <v>0</v>
      </c>
      <c r="AD40" s="7">
        <v>0</v>
      </c>
      <c r="AE40" s="8">
        <f t="shared" si="1"/>
        <v>25000</v>
      </c>
      <c r="AF40" s="8">
        <f t="shared" si="2"/>
        <v>24597</v>
      </c>
      <c r="AG40" s="7"/>
      <c r="AH40" s="7"/>
      <c r="AI40" s="7">
        <v>0</v>
      </c>
      <c r="AJ40" s="7">
        <v>0</v>
      </c>
      <c r="AK40" s="10">
        <v>0</v>
      </c>
      <c r="AL40" s="8">
        <f t="shared" si="8"/>
        <v>24597</v>
      </c>
    </row>
    <row r="41" spans="1:38" ht="14.25" customHeight="1">
      <c r="A41" s="24" t="s">
        <v>293</v>
      </c>
      <c r="B41" s="7" t="s">
        <v>515</v>
      </c>
      <c r="C41" s="25" t="s">
        <v>516</v>
      </c>
      <c r="D41" s="7" t="s">
        <v>517</v>
      </c>
      <c r="E41" s="7" t="s">
        <v>86</v>
      </c>
      <c r="F41" s="7" t="s">
        <v>518</v>
      </c>
      <c r="G41" s="7"/>
      <c r="H41" s="7" t="s">
        <v>519</v>
      </c>
      <c r="I41" s="7" t="s">
        <v>135</v>
      </c>
      <c r="J41" s="7" t="s">
        <v>520</v>
      </c>
      <c r="K41" s="7" t="s">
        <v>50</v>
      </c>
      <c r="L41" s="7" t="s">
        <v>50</v>
      </c>
      <c r="M41" s="7"/>
      <c r="N41" s="7" t="s">
        <v>521</v>
      </c>
      <c r="O41" s="7" t="s">
        <v>522</v>
      </c>
      <c r="P41" s="7" t="s">
        <v>523</v>
      </c>
      <c r="Q41" s="7" t="s">
        <v>524</v>
      </c>
      <c r="R41" s="7" t="s">
        <v>525</v>
      </c>
      <c r="S41" s="7" t="s">
        <v>516</v>
      </c>
      <c r="T41" s="7" t="s">
        <v>174</v>
      </c>
      <c r="U41" s="7" t="s">
        <v>526</v>
      </c>
      <c r="V41" s="7" t="s">
        <v>527</v>
      </c>
      <c r="W41" s="24">
        <v>31</v>
      </c>
      <c r="X41" s="25"/>
      <c r="Y41" s="7">
        <f t="shared" si="0"/>
        <v>31</v>
      </c>
      <c r="Z41" s="24">
        <v>24640</v>
      </c>
      <c r="AA41" s="7">
        <v>0</v>
      </c>
      <c r="AB41" s="24">
        <v>8360</v>
      </c>
      <c r="AC41" s="7">
        <v>0</v>
      </c>
      <c r="AD41" s="7">
        <v>0</v>
      </c>
      <c r="AE41" s="8">
        <f t="shared" si="1"/>
        <v>33000</v>
      </c>
      <c r="AF41" s="8">
        <f t="shared" si="2"/>
        <v>33000</v>
      </c>
      <c r="AG41" s="7"/>
      <c r="AH41" s="7"/>
      <c r="AI41" s="7">
        <v>0</v>
      </c>
      <c r="AJ41" s="7">
        <v>0</v>
      </c>
      <c r="AK41" s="10">
        <v>0</v>
      </c>
      <c r="AL41" s="8">
        <f t="shared" si="8"/>
        <v>33000</v>
      </c>
    </row>
    <row r="42" spans="1:38" ht="14.25" customHeight="1">
      <c r="A42" s="24" t="s">
        <v>293</v>
      </c>
      <c r="B42" s="7" t="s">
        <v>528</v>
      </c>
      <c r="C42" s="25" t="s">
        <v>529</v>
      </c>
      <c r="D42" s="7" t="s">
        <v>530</v>
      </c>
      <c r="E42" s="7" t="s">
        <v>45</v>
      </c>
      <c r="F42" s="7" t="s">
        <v>518</v>
      </c>
      <c r="G42" s="7"/>
      <c r="H42" s="7" t="s">
        <v>531</v>
      </c>
      <c r="I42" s="7" t="s">
        <v>219</v>
      </c>
      <c r="J42" s="7" t="s">
        <v>136</v>
      </c>
      <c r="K42" s="7" t="s">
        <v>50</v>
      </c>
      <c r="L42" s="7" t="s">
        <v>50</v>
      </c>
      <c r="M42" s="7"/>
      <c r="N42" s="7" t="s">
        <v>532</v>
      </c>
      <c r="O42" s="7" t="s">
        <v>533</v>
      </c>
      <c r="P42" s="7" t="s">
        <v>160</v>
      </c>
      <c r="Q42" s="7" t="s">
        <v>534</v>
      </c>
      <c r="R42" s="7" t="s">
        <v>535</v>
      </c>
      <c r="S42" s="7" t="s">
        <v>529</v>
      </c>
      <c r="T42" s="7" t="s">
        <v>174</v>
      </c>
      <c r="U42" s="7" t="s">
        <v>536</v>
      </c>
      <c r="V42" s="7" t="s">
        <v>537</v>
      </c>
      <c r="W42" s="24">
        <v>31</v>
      </c>
      <c r="X42" s="25"/>
      <c r="Y42" s="7">
        <f t="shared" si="0"/>
        <v>31</v>
      </c>
      <c r="Z42" s="7">
        <v>26300</v>
      </c>
      <c r="AA42" s="7">
        <v>0</v>
      </c>
      <c r="AB42" s="7">
        <v>13150</v>
      </c>
      <c r="AC42" s="7">
        <v>0</v>
      </c>
      <c r="AD42" s="7">
        <v>13150</v>
      </c>
      <c r="AE42" s="8">
        <f t="shared" si="1"/>
        <v>52600</v>
      </c>
      <c r="AF42" s="8">
        <f t="shared" si="2"/>
        <v>52600</v>
      </c>
      <c r="AG42" s="7"/>
      <c r="AH42" s="7"/>
      <c r="AI42" s="7">
        <v>0</v>
      </c>
      <c r="AJ42" s="7">
        <v>0</v>
      </c>
      <c r="AK42" s="10">
        <v>0</v>
      </c>
      <c r="AL42" s="8">
        <f>AF42-SUM(AH42:AK42)+AG42</f>
        <v>52600</v>
      </c>
    </row>
    <row r="43" spans="1:38" ht="14.25" customHeight="1">
      <c r="A43" s="24" t="s">
        <v>293</v>
      </c>
      <c r="B43" s="7" t="s">
        <v>538</v>
      </c>
      <c r="C43" s="25" t="s">
        <v>539</v>
      </c>
      <c r="D43" s="7" t="s">
        <v>540</v>
      </c>
      <c r="E43" s="7" t="s">
        <v>45</v>
      </c>
      <c r="F43" s="7" t="s">
        <v>541</v>
      </c>
      <c r="G43" s="7"/>
      <c r="H43" s="7" t="s">
        <v>542</v>
      </c>
      <c r="I43" s="7" t="s">
        <v>219</v>
      </c>
      <c r="J43" s="7" t="s">
        <v>543</v>
      </c>
      <c r="K43" s="7" t="s">
        <v>50</v>
      </c>
      <c r="L43" s="7" t="s">
        <v>50</v>
      </c>
      <c r="M43" s="7"/>
      <c r="N43" s="7" t="s">
        <v>544</v>
      </c>
      <c r="O43" s="7" t="s">
        <v>545</v>
      </c>
      <c r="P43" s="7" t="s">
        <v>232</v>
      </c>
      <c r="Q43" s="7" t="s">
        <v>546</v>
      </c>
      <c r="R43" s="7" t="s">
        <v>547</v>
      </c>
      <c r="S43" s="7" t="s">
        <v>539</v>
      </c>
      <c r="T43" s="7" t="s">
        <v>174</v>
      </c>
      <c r="U43" s="7" t="s">
        <v>548</v>
      </c>
      <c r="V43" s="7" t="s">
        <v>549</v>
      </c>
      <c r="W43" s="24">
        <v>31</v>
      </c>
      <c r="X43" s="25"/>
      <c r="Y43" s="7">
        <f t="shared" si="0"/>
        <v>31</v>
      </c>
      <c r="Z43" s="7">
        <v>24773</v>
      </c>
      <c r="AA43" s="7">
        <v>0</v>
      </c>
      <c r="AB43" s="7">
        <v>12386</v>
      </c>
      <c r="AC43" s="7">
        <v>0</v>
      </c>
      <c r="AD43" s="7">
        <v>12386</v>
      </c>
      <c r="AE43" s="8">
        <f t="shared" si="1"/>
        <v>49545</v>
      </c>
      <c r="AF43" s="8">
        <f t="shared" si="2"/>
        <v>49545</v>
      </c>
      <c r="AG43" s="7"/>
      <c r="AH43" s="7"/>
      <c r="AI43" s="7">
        <v>0</v>
      </c>
      <c r="AJ43" s="7">
        <v>0</v>
      </c>
      <c r="AK43" s="10">
        <v>0</v>
      </c>
      <c r="AL43" s="8">
        <f t="shared" ref="AL43:AL48" si="9">AF43-SUM(AH43:AK43)</f>
        <v>49545</v>
      </c>
    </row>
    <row r="44" spans="1:38" ht="14.25" customHeight="1">
      <c r="A44" s="24" t="s">
        <v>293</v>
      </c>
      <c r="B44" s="7" t="s">
        <v>550</v>
      </c>
      <c r="C44" s="25" t="s">
        <v>551</v>
      </c>
      <c r="D44" s="7" t="s">
        <v>552</v>
      </c>
      <c r="E44" s="7" t="s">
        <v>86</v>
      </c>
      <c r="F44" s="7" t="s">
        <v>553</v>
      </c>
      <c r="G44" s="7"/>
      <c r="H44" s="7" t="s">
        <v>554</v>
      </c>
      <c r="I44" s="7" t="s">
        <v>219</v>
      </c>
      <c r="J44" s="7" t="s">
        <v>446</v>
      </c>
      <c r="K44" s="7" t="s">
        <v>50</v>
      </c>
      <c r="L44" s="7" t="s">
        <v>50</v>
      </c>
      <c r="M44" s="7"/>
      <c r="N44" s="7" t="s">
        <v>555</v>
      </c>
      <c r="O44" s="7" t="s">
        <v>556</v>
      </c>
      <c r="P44" s="7" t="s">
        <v>222</v>
      </c>
      <c r="Q44" s="7" t="s">
        <v>557</v>
      </c>
      <c r="R44" s="7" t="s">
        <v>558</v>
      </c>
      <c r="S44" s="7" t="s">
        <v>551</v>
      </c>
      <c r="T44" s="7" t="s">
        <v>174</v>
      </c>
      <c r="U44" s="7" t="s">
        <v>559</v>
      </c>
      <c r="V44" s="7" t="s">
        <v>560</v>
      </c>
      <c r="W44" s="24">
        <v>31</v>
      </c>
      <c r="X44" s="25"/>
      <c r="Y44" s="7">
        <f t="shared" si="0"/>
        <v>31</v>
      </c>
      <c r="Z44" s="7">
        <v>23100</v>
      </c>
      <c r="AA44" s="7">
        <v>0</v>
      </c>
      <c r="AB44" s="7">
        <v>7810</v>
      </c>
      <c r="AC44" s="7">
        <v>0</v>
      </c>
      <c r="AD44" s="7">
        <v>7810</v>
      </c>
      <c r="AE44" s="8">
        <f t="shared" si="1"/>
        <v>38720</v>
      </c>
      <c r="AF44" s="8">
        <f t="shared" si="2"/>
        <v>38720</v>
      </c>
      <c r="AG44" s="7"/>
      <c r="AH44" s="7"/>
      <c r="AI44" s="7">
        <v>0</v>
      </c>
      <c r="AJ44" s="7">
        <v>0</v>
      </c>
      <c r="AK44" s="10">
        <v>0</v>
      </c>
      <c r="AL44" s="8">
        <f t="shared" si="9"/>
        <v>38720</v>
      </c>
    </row>
    <row r="45" spans="1:38" ht="14.25" customHeight="1">
      <c r="A45" s="24" t="s">
        <v>293</v>
      </c>
      <c r="B45" s="7" t="s">
        <v>561</v>
      </c>
      <c r="C45" s="25" t="s">
        <v>562</v>
      </c>
      <c r="D45" s="7" t="s">
        <v>563</v>
      </c>
      <c r="E45" s="7" t="s">
        <v>45</v>
      </c>
      <c r="F45" s="7" t="s">
        <v>564</v>
      </c>
      <c r="G45" s="7"/>
      <c r="H45" s="7" t="s">
        <v>565</v>
      </c>
      <c r="I45" s="7" t="s">
        <v>219</v>
      </c>
      <c r="J45" s="7" t="s">
        <v>136</v>
      </c>
      <c r="K45" s="7" t="s">
        <v>50</v>
      </c>
      <c r="L45" s="7" t="s">
        <v>50</v>
      </c>
      <c r="M45" s="7"/>
      <c r="N45" s="7" t="s">
        <v>566</v>
      </c>
      <c r="O45" s="7" t="s">
        <v>567</v>
      </c>
      <c r="P45" s="7" t="s">
        <v>568</v>
      </c>
      <c r="Q45" s="7" t="s">
        <v>569</v>
      </c>
      <c r="R45" s="7" t="s">
        <v>570</v>
      </c>
      <c r="S45" s="7" t="s">
        <v>562</v>
      </c>
      <c r="T45" s="7" t="s">
        <v>174</v>
      </c>
      <c r="U45" s="7" t="s">
        <v>571</v>
      </c>
      <c r="V45" s="7" t="s">
        <v>572</v>
      </c>
      <c r="W45" s="24">
        <v>31</v>
      </c>
      <c r="X45" s="25"/>
      <c r="Y45" s="7">
        <f t="shared" si="0"/>
        <v>31</v>
      </c>
      <c r="Z45" s="7">
        <v>25000</v>
      </c>
      <c r="AA45" s="7">
        <v>0</v>
      </c>
      <c r="AB45" s="7">
        <v>7000</v>
      </c>
      <c r="AC45" s="7">
        <v>0</v>
      </c>
      <c r="AD45" s="7">
        <v>3000</v>
      </c>
      <c r="AE45" s="8">
        <f t="shared" si="1"/>
        <v>35000</v>
      </c>
      <c r="AF45" s="8">
        <f t="shared" si="2"/>
        <v>35000</v>
      </c>
      <c r="AG45" s="7"/>
      <c r="AH45" s="7"/>
      <c r="AI45" s="7">
        <v>0</v>
      </c>
      <c r="AJ45" s="7">
        <v>0</v>
      </c>
      <c r="AK45" s="10">
        <v>0</v>
      </c>
      <c r="AL45" s="8">
        <f t="shared" si="9"/>
        <v>35000</v>
      </c>
    </row>
    <row r="46" spans="1:38" ht="14.25" customHeight="1">
      <c r="A46" s="24" t="s">
        <v>293</v>
      </c>
      <c r="B46" s="7" t="s">
        <v>573</v>
      </c>
      <c r="C46" s="25" t="s">
        <v>574</v>
      </c>
      <c r="D46" s="7" t="s">
        <v>575</v>
      </c>
      <c r="E46" s="7" t="s">
        <v>45</v>
      </c>
      <c r="F46" s="7" t="s">
        <v>576</v>
      </c>
      <c r="G46" s="7"/>
      <c r="H46" s="7" t="s">
        <v>577</v>
      </c>
      <c r="I46" s="7" t="s">
        <v>219</v>
      </c>
      <c r="J46" s="7" t="s">
        <v>136</v>
      </c>
      <c r="K46" s="7" t="s">
        <v>50</v>
      </c>
      <c r="L46" s="7" t="s">
        <v>50</v>
      </c>
      <c r="M46" s="7"/>
      <c r="N46" s="7" t="s">
        <v>578</v>
      </c>
      <c r="O46" s="7" t="s">
        <v>579</v>
      </c>
      <c r="P46" s="7" t="s">
        <v>184</v>
      </c>
      <c r="Q46" s="7" t="s">
        <v>580</v>
      </c>
      <c r="R46" s="7" t="s">
        <v>581</v>
      </c>
      <c r="S46" s="7" t="s">
        <v>574</v>
      </c>
      <c r="T46" s="7" t="s">
        <v>174</v>
      </c>
      <c r="U46" s="7" t="s">
        <v>582</v>
      </c>
      <c r="V46" s="7" t="s">
        <v>583</v>
      </c>
      <c r="W46" s="24">
        <v>31</v>
      </c>
      <c r="X46" s="25"/>
      <c r="Y46" s="7">
        <f t="shared" si="0"/>
        <v>31</v>
      </c>
      <c r="Z46" s="7">
        <v>25000</v>
      </c>
      <c r="AA46" s="7">
        <v>0</v>
      </c>
      <c r="AB46" s="7">
        <v>10500</v>
      </c>
      <c r="AC46" s="7">
        <v>0</v>
      </c>
      <c r="AD46" s="7">
        <v>6500</v>
      </c>
      <c r="AE46" s="8">
        <f t="shared" si="1"/>
        <v>42000</v>
      </c>
      <c r="AF46" s="8">
        <f t="shared" si="2"/>
        <v>42000</v>
      </c>
      <c r="AG46" s="7"/>
      <c r="AH46" s="7"/>
      <c r="AI46" s="7">
        <v>0</v>
      </c>
      <c r="AJ46" s="7">
        <v>0</v>
      </c>
      <c r="AK46" s="10">
        <v>0</v>
      </c>
      <c r="AL46" s="8">
        <f t="shared" si="9"/>
        <v>42000</v>
      </c>
    </row>
    <row r="47" spans="1:38" ht="14.25" customHeight="1">
      <c r="A47" s="24" t="s">
        <v>293</v>
      </c>
      <c r="B47" s="7" t="s">
        <v>584</v>
      </c>
      <c r="C47" s="25" t="s">
        <v>585</v>
      </c>
      <c r="D47" s="7" t="s">
        <v>586</v>
      </c>
      <c r="E47" s="7" t="s">
        <v>86</v>
      </c>
      <c r="F47" s="7" t="s">
        <v>587</v>
      </c>
      <c r="G47" s="32">
        <v>46059</v>
      </c>
      <c r="H47" s="7" t="s">
        <v>588</v>
      </c>
      <c r="I47" s="7" t="s">
        <v>219</v>
      </c>
      <c r="J47" s="7" t="s">
        <v>589</v>
      </c>
      <c r="K47" s="7" t="s">
        <v>50</v>
      </c>
      <c r="L47" s="7" t="s">
        <v>50</v>
      </c>
      <c r="M47" s="7"/>
      <c r="N47" s="7" t="s">
        <v>590</v>
      </c>
      <c r="O47" s="7" t="s">
        <v>591</v>
      </c>
      <c r="P47" s="7" t="s">
        <v>232</v>
      </c>
      <c r="Q47" s="7" t="s">
        <v>592</v>
      </c>
      <c r="R47" s="7" t="s">
        <v>234</v>
      </c>
      <c r="S47" s="7" t="s">
        <v>585</v>
      </c>
      <c r="T47" s="7" t="s">
        <v>174</v>
      </c>
      <c r="U47" s="7" t="s">
        <v>593</v>
      </c>
      <c r="V47" s="7" t="s">
        <v>594</v>
      </c>
      <c r="W47" s="24">
        <v>31</v>
      </c>
      <c r="X47" s="25"/>
      <c r="Y47" s="7">
        <f t="shared" si="0"/>
        <v>31</v>
      </c>
      <c r="Z47" s="7">
        <f>22000</f>
        <v>22000</v>
      </c>
      <c r="AA47" s="7">
        <v>0</v>
      </c>
      <c r="AB47" s="7">
        <f>3000-1000</f>
        <v>2000</v>
      </c>
      <c r="AC47" s="7">
        <v>0</v>
      </c>
      <c r="AD47" s="7">
        <v>0</v>
      </c>
      <c r="AE47" s="8">
        <f t="shared" si="1"/>
        <v>24000</v>
      </c>
      <c r="AF47" s="8">
        <f t="shared" si="2"/>
        <v>24000</v>
      </c>
      <c r="AG47" s="7"/>
      <c r="AH47" s="7"/>
      <c r="AI47" s="7">
        <v>0</v>
      </c>
      <c r="AJ47" s="7">
        <v>0</v>
      </c>
      <c r="AK47" s="10">
        <v>0</v>
      </c>
      <c r="AL47" s="8">
        <f t="shared" si="9"/>
        <v>24000</v>
      </c>
    </row>
    <row r="48" spans="1:38" ht="14.25" customHeight="1">
      <c r="A48" s="24" t="s">
        <v>293</v>
      </c>
      <c r="B48" s="7" t="s">
        <v>595</v>
      </c>
      <c r="C48" s="25" t="s">
        <v>596</v>
      </c>
      <c r="D48" s="7" t="s">
        <v>597</v>
      </c>
      <c r="E48" s="7" t="s">
        <v>86</v>
      </c>
      <c r="F48" s="7" t="s">
        <v>598</v>
      </c>
      <c r="G48" s="7"/>
      <c r="H48" s="7" t="s">
        <v>599</v>
      </c>
      <c r="I48" s="7" t="s">
        <v>219</v>
      </c>
      <c r="J48" s="7" t="s">
        <v>136</v>
      </c>
      <c r="K48" s="7" t="s">
        <v>50</v>
      </c>
      <c r="L48" s="7" t="s">
        <v>50</v>
      </c>
      <c r="M48" s="7"/>
      <c r="N48" s="7" t="s">
        <v>600</v>
      </c>
      <c r="O48" s="7" t="s">
        <v>601</v>
      </c>
      <c r="P48" s="7" t="s">
        <v>602</v>
      </c>
      <c r="Q48" s="7" t="s">
        <v>603</v>
      </c>
      <c r="R48" s="7" t="s">
        <v>604</v>
      </c>
      <c r="S48" s="7" t="s">
        <v>596</v>
      </c>
      <c r="T48" s="7" t="s">
        <v>174</v>
      </c>
      <c r="U48" s="7" t="s">
        <v>605</v>
      </c>
      <c r="V48" s="7" t="s">
        <v>606</v>
      </c>
      <c r="W48" s="24">
        <v>31</v>
      </c>
      <c r="X48" s="25"/>
      <c r="Y48" s="7">
        <f t="shared" si="0"/>
        <v>31</v>
      </c>
      <c r="Z48" s="7">
        <f>24000</f>
        <v>24000</v>
      </c>
      <c r="AA48" s="7">
        <v>0</v>
      </c>
      <c r="AB48" s="7">
        <v>8500</v>
      </c>
      <c r="AC48" s="7">
        <v>0</v>
      </c>
      <c r="AD48" s="7">
        <v>5500</v>
      </c>
      <c r="AE48" s="8">
        <f t="shared" si="1"/>
        <v>38000</v>
      </c>
      <c r="AF48" s="8">
        <f t="shared" si="2"/>
        <v>38000</v>
      </c>
      <c r="AG48" s="7"/>
      <c r="AH48" s="7"/>
      <c r="AI48" s="7">
        <v>0</v>
      </c>
      <c r="AJ48" s="7">
        <v>0</v>
      </c>
      <c r="AK48" s="10">
        <v>0</v>
      </c>
      <c r="AL48" s="8">
        <f t="shared" si="9"/>
        <v>38000</v>
      </c>
    </row>
    <row r="49" spans="1:42" ht="14.25" customHeight="1">
      <c r="A49" s="24" t="s">
        <v>293</v>
      </c>
      <c r="B49" s="7" t="s">
        <v>607</v>
      </c>
      <c r="C49" s="25" t="s">
        <v>608</v>
      </c>
      <c r="D49" s="33">
        <v>45901</v>
      </c>
      <c r="E49" s="7" t="s">
        <v>45</v>
      </c>
      <c r="F49" s="33">
        <v>35542</v>
      </c>
      <c r="G49" s="7"/>
      <c r="H49" s="7"/>
      <c r="I49" s="7"/>
      <c r="J49" s="7" t="s">
        <v>508</v>
      </c>
      <c r="K49" s="7" t="s">
        <v>609</v>
      </c>
      <c r="L49" s="7" t="s">
        <v>609</v>
      </c>
      <c r="M49" s="7"/>
      <c r="N49" s="7"/>
      <c r="O49" s="7"/>
      <c r="P49" s="31" t="s">
        <v>610</v>
      </c>
      <c r="Q49" s="34" t="s">
        <v>611</v>
      </c>
      <c r="R49" s="31" t="s">
        <v>612</v>
      </c>
      <c r="S49" s="7" t="s">
        <v>613</v>
      </c>
      <c r="T49" s="7" t="s">
        <v>174</v>
      </c>
      <c r="U49" s="35">
        <v>9176358728</v>
      </c>
      <c r="V49" s="7" t="s">
        <v>614</v>
      </c>
      <c r="W49" s="24">
        <v>31</v>
      </c>
      <c r="X49" s="25"/>
      <c r="Y49" s="7">
        <f t="shared" si="0"/>
        <v>31</v>
      </c>
      <c r="Z49" s="7">
        <v>21500</v>
      </c>
      <c r="AA49" s="7">
        <v>0</v>
      </c>
      <c r="AB49" s="7">
        <v>0</v>
      </c>
      <c r="AC49" s="7">
        <v>0</v>
      </c>
      <c r="AD49" s="7">
        <v>0</v>
      </c>
      <c r="AE49" s="8">
        <f t="shared" si="1"/>
        <v>21500</v>
      </c>
      <c r="AF49" s="8">
        <f t="shared" si="2"/>
        <v>21500</v>
      </c>
      <c r="AG49" s="24"/>
      <c r="AH49" s="7"/>
      <c r="AI49" s="7">
        <v>1800</v>
      </c>
      <c r="AJ49" s="24">
        <v>1700</v>
      </c>
      <c r="AK49" s="7">
        <v>0</v>
      </c>
      <c r="AL49" s="8">
        <f t="shared" ref="AL49:AL50" si="10">AF49-SUM(AH49:AK49)+AG49</f>
        <v>18000</v>
      </c>
    </row>
    <row r="50" spans="1:42" ht="14.25" customHeight="1">
      <c r="A50" s="24" t="s">
        <v>293</v>
      </c>
      <c r="B50" s="7" t="s">
        <v>615</v>
      </c>
      <c r="C50" s="25" t="s">
        <v>616</v>
      </c>
      <c r="D50" s="33">
        <v>45666</v>
      </c>
      <c r="E50" s="7" t="s">
        <v>86</v>
      </c>
      <c r="F50" s="7" t="s">
        <v>617</v>
      </c>
      <c r="G50" s="7"/>
      <c r="H50" s="7"/>
      <c r="I50" s="7"/>
      <c r="J50" s="7" t="s">
        <v>508</v>
      </c>
      <c r="K50" s="7" t="s">
        <v>609</v>
      </c>
      <c r="L50" s="7" t="s">
        <v>609</v>
      </c>
      <c r="M50" s="7"/>
      <c r="N50" s="7"/>
      <c r="O50" s="7"/>
      <c r="P50" s="7" t="s">
        <v>618</v>
      </c>
      <c r="Q50" s="36" t="s">
        <v>619</v>
      </c>
      <c r="R50" s="37" t="s">
        <v>620</v>
      </c>
      <c r="S50" s="7" t="s">
        <v>621</v>
      </c>
      <c r="T50" s="7" t="s">
        <v>174</v>
      </c>
      <c r="U50" s="35">
        <v>9789002338</v>
      </c>
      <c r="V50" s="13" t="s">
        <v>622</v>
      </c>
      <c r="W50" s="24">
        <v>31</v>
      </c>
      <c r="X50" s="25"/>
      <c r="Y50" s="7">
        <f t="shared" si="0"/>
        <v>31</v>
      </c>
      <c r="Z50" s="7">
        <v>21300</v>
      </c>
      <c r="AA50" s="7">
        <v>0</v>
      </c>
      <c r="AB50" s="7">
        <v>0</v>
      </c>
      <c r="AC50" s="7">
        <v>0</v>
      </c>
      <c r="AD50" s="7">
        <v>0</v>
      </c>
      <c r="AE50" s="8">
        <f t="shared" si="1"/>
        <v>21300</v>
      </c>
      <c r="AF50" s="8">
        <f t="shared" si="2"/>
        <v>21300</v>
      </c>
      <c r="AG50" s="7"/>
      <c r="AH50" s="7"/>
      <c r="AI50" s="7">
        <v>0</v>
      </c>
      <c r="AJ50" s="7">
        <v>0</v>
      </c>
      <c r="AK50" s="7">
        <v>0</v>
      </c>
      <c r="AL50" s="8">
        <f t="shared" si="10"/>
        <v>21300</v>
      </c>
    </row>
    <row r="51" spans="1:42" ht="14.25" customHeight="1">
      <c r="A51" s="24" t="s">
        <v>293</v>
      </c>
      <c r="B51" s="7" t="s">
        <v>623</v>
      </c>
      <c r="C51" s="25" t="s">
        <v>624</v>
      </c>
      <c r="D51" s="33">
        <v>45925</v>
      </c>
      <c r="E51" s="7" t="s">
        <v>86</v>
      </c>
      <c r="F51" s="31" t="s">
        <v>625</v>
      </c>
      <c r="G51" s="7"/>
      <c r="H51" s="7" t="s">
        <v>626</v>
      </c>
      <c r="I51" s="7"/>
      <c r="J51" s="7" t="s">
        <v>508</v>
      </c>
      <c r="K51" s="7" t="s">
        <v>609</v>
      </c>
      <c r="L51" s="7" t="s">
        <v>609</v>
      </c>
      <c r="M51" s="7"/>
      <c r="N51" s="7" t="s">
        <v>627</v>
      </c>
      <c r="O51" s="34" t="s">
        <v>628</v>
      </c>
      <c r="P51" s="7" t="s">
        <v>629</v>
      </c>
      <c r="Q51" s="28">
        <v>110043317026</v>
      </c>
      <c r="R51" s="7" t="s">
        <v>630</v>
      </c>
      <c r="S51" s="7" t="s">
        <v>624</v>
      </c>
      <c r="T51" s="7" t="s">
        <v>174</v>
      </c>
      <c r="U51" s="34" t="s">
        <v>631</v>
      </c>
      <c r="V51" s="34" t="s">
        <v>632</v>
      </c>
      <c r="W51" s="24">
        <v>31</v>
      </c>
      <c r="X51" s="25"/>
      <c r="Y51" s="7">
        <f t="shared" si="0"/>
        <v>31</v>
      </c>
      <c r="Z51" s="7">
        <v>21100</v>
      </c>
      <c r="AA51" s="7">
        <v>0</v>
      </c>
      <c r="AB51" s="7">
        <v>0</v>
      </c>
      <c r="AC51" s="7">
        <v>0</v>
      </c>
      <c r="AD51" s="7">
        <v>0</v>
      </c>
      <c r="AE51" s="8">
        <f t="shared" si="1"/>
        <v>21100</v>
      </c>
      <c r="AF51" s="8">
        <f t="shared" si="2"/>
        <v>21100</v>
      </c>
      <c r="AG51" s="7"/>
      <c r="AH51" s="7"/>
      <c r="AI51" s="30">
        <v>1800</v>
      </c>
      <c r="AJ51" s="7">
        <v>0</v>
      </c>
      <c r="AK51" s="7">
        <v>0</v>
      </c>
      <c r="AL51" s="8">
        <f t="shared" ref="AL51:AL52" si="11">AF51-SUM(AH51:AK51)</f>
        <v>19300</v>
      </c>
    </row>
    <row r="52" spans="1:42" ht="14.25" customHeight="1">
      <c r="A52" s="24" t="s">
        <v>293</v>
      </c>
      <c r="B52" s="7" t="s">
        <v>633</v>
      </c>
      <c r="C52" s="25" t="s">
        <v>634</v>
      </c>
      <c r="D52" s="38"/>
      <c r="E52" s="38" t="s">
        <v>86</v>
      </c>
      <c r="F52" s="38"/>
      <c r="G52" s="38"/>
      <c r="H52" s="38"/>
      <c r="I52" s="38"/>
      <c r="J52" s="7" t="s">
        <v>635</v>
      </c>
      <c r="K52" s="38"/>
      <c r="L52" s="38"/>
      <c r="M52" s="38"/>
      <c r="N52" s="7" t="s">
        <v>636</v>
      </c>
      <c r="O52" s="7">
        <v>344321182069</v>
      </c>
      <c r="P52" s="7" t="s">
        <v>629</v>
      </c>
      <c r="Q52" s="31">
        <v>110051564740</v>
      </c>
      <c r="R52" s="7" t="s">
        <v>637</v>
      </c>
      <c r="S52" s="7" t="s">
        <v>634</v>
      </c>
      <c r="T52" s="7" t="s">
        <v>174</v>
      </c>
      <c r="U52" s="31">
        <v>8826856396</v>
      </c>
      <c r="V52" s="38"/>
      <c r="W52" s="24">
        <v>31</v>
      </c>
      <c r="X52" s="25"/>
      <c r="Y52" s="7">
        <f t="shared" si="0"/>
        <v>31</v>
      </c>
      <c r="Z52" s="8">
        <v>28000</v>
      </c>
      <c r="AA52" s="7">
        <v>0</v>
      </c>
      <c r="AB52" s="7">
        <v>0</v>
      </c>
      <c r="AC52" s="7">
        <v>0</v>
      </c>
      <c r="AD52" s="7">
        <v>0</v>
      </c>
      <c r="AE52" s="8">
        <f t="shared" si="1"/>
        <v>28000</v>
      </c>
      <c r="AF52" s="8">
        <f t="shared" si="2"/>
        <v>28000</v>
      </c>
      <c r="AG52" s="7"/>
      <c r="AH52" s="8">
        <v>0</v>
      </c>
      <c r="AI52" s="8">
        <v>0</v>
      </c>
      <c r="AJ52" s="7">
        <v>0</v>
      </c>
      <c r="AK52" s="7">
        <v>0</v>
      </c>
      <c r="AL52" s="8">
        <f t="shared" si="11"/>
        <v>28000</v>
      </c>
      <c r="AN52" s="1"/>
    </row>
    <row r="53" spans="1:42" ht="14.25" customHeight="1">
      <c r="A53" s="24" t="s">
        <v>293</v>
      </c>
      <c r="B53" s="7" t="s">
        <v>638</v>
      </c>
      <c r="C53" s="25" t="s">
        <v>639</v>
      </c>
      <c r="D53" s="39">
        <v>45881</v>
      </c>
      <c r="E53" s="7" t="s">
        <v>45</v>
      </c>
      <c r="F53" s="7"/>
      <c r="G53" s="7"/>
      <c r="H53" s="7"/>
      <c r="I53" s="7"/>
      <c r="J53" s="7" t="s">
        <v>136</v>
      </c>
      <c r="K53" s="7" t="s">
        <v>640</v>
      </c>
      <c r="L53" s="7" t="s">
        <v>640</v>
      </c>
      <c r="M53" s="7"/>
      <c r="N53" s="7" t="s">
        <v>641</v>
      </c>
      <c r="O53" s="7">
        <v>591717287710</v>
      </c>
      <c r="P53" s="7" t="s">
        <v>642</v>
      </c>
      <c r="Q53" s="31">
        <v>4750329411</v>
      </c>
      <c r="R53" s="7" t="s">
        <v>643</v>
      </c>
      <c r="S53" s="7" t="s">
        <v>639</v>
      </c>
      <c r="T53" s="7" t="s">
        <v>174</v>
      </c>
      <c r="U53" s="7">
        <v>9005654216</v>
      </c>
      <c r="V53" s="7" t="s">
        <v>644</v>
      </c>
      <c r="W53" s="24">
        <v>31</v>
      </c>
      <c r="X53" s="29">
        <v>3</v>
      </c>
      <c r="Y53" s="7">
        <f t="shared" si="0"/>
        <v>28</v>
      </c>
      <c r="Z53" s="8">
        <v>35000</v>
      </c>
      <c r="AA53" s="8">
        <v>0</v>
      </c>
      <c r="AB53" s="8">
        <v>5000</v>
      </c>
      <c r="AC53" s="8"/>
      <c r="AD53" s="8">
        <v>4000</v>
      </c>
      <c r="AE53" s="8">
        <f t="shared" si="1"/>
        <v>44000</v>
      </c>
      <c r="AF53" s="8">
        <f t="shared" si="2"/>
        <v>39742</v>
      </c>
      <c r="AG53" s="24">
        <v>1800</v>
      </c>
      <c r="AH53" s="8">
        <v>0</v>
      </c>
      <c r="AI53" s="8">
        <v>0</v>
      </c>
      <c r="AJ53" s="7">
        <v>0</v>
      </c>
      <c r="AK53" s="7">
        <v>0</v>
      </c>
      <c r="AL53" s="8">
        <f>AF53-SUM(AH53:AK53)+AG53</f>
        <v>41542</v>
      </c>
      <c r="AN53" s="13"/>
    </row>
    <row r="54" spans="1:42" ht="14.25" customHeight="1">
      <c r="A54" s="24" t="s">
        <v>293</v>
      </c>
      <c r="B54" s="7" t="s">
        <v>645</v>
      </c>
      <c r="C54" s="25" t="s">
        <v>646</v>
      </c>
      <c r="D54" s="39">
        <v>45759</v>
      </c>
      <c r="E54" s="7" t="s">
        <v>45</v>
      </c>
      <c r="F54" s="7" t="s">
        <v>647</v>
      </c>
      <c r="G54" s="40" t="s">
        <v>648</v>
      </c>
      <c r="H54" s="7"/>
      <c r="I54" s="7"/>
      <c r="J54" s="7" t="s">
        <v>136</v>
      </c>
      <c r="K54" s="7"/>
      <c r="L54" s="7"/>
      <c r="M54" s="7"/>
      <c r="N54" s="7" t="s">
        <v>649</v>
      </c>
      <c r="O54" s="7">
        <v>493673568805</v>
      </c>
      <c r="P54" s="7" t="s">
        <v>232</v>
      </c>
      <c r="Q54" s="31">
        <v>50100749133206</v>
      </c>
      <c r="R54" s="7" t="s">
        <v>650</v>
      </c>
      <c r="S54" s="7" t="s">
        <v>646</v>
      </c>
      <c r="T54" s="7" t="s">
        <v>174</v>
      </c>
      <c r="U54" s="7">
        <v>7982177523</v>
      </c>
      <c r="V54" s="7" t="s">
        <v>651</v>
      </c>
      <c r="W54" s="24">
        <v>31</v>
      </c>
      <c r="X54" s="27">
        <f>LOP!R69</f>
        <v>23</v>
      </c>
      <c r="Y54" s="7">
        <f t="shared" si="0"/>
        <v>8</v>
      </c>
      <c r="Z54" s="8">
        <v>43560</v>
      </c>
      <c r="AA54" s="8">
        <v>0</v>
      </c>
      <c r="AB54" s="8">
        <v>4737</v>
      </c>
      <c r="AC54" s="8">
        <v>0</v>
      </c>
      <c r="AD54" s="8">
        <v>3475</v>
      </c>
      <c r="AE54" s="8">
        <f t="shared" si="1"/>
        <v>51772</v>
      </c>
      <c r="AF54" s="8">
        <f t="shared" si="2"/>
        <v>13361</v>
      </c>
      <c r="AG54" s="7"/>
      <c r="AH54" s="8">
        <v>0</v>
      </c>
      <c r="AI54" s="8">
        <v>0</v>
      </c>
      <c r="AJ54" s="7">
        <v>0</v>
      </c>
      <c r="AK54" s="7">
        <v>0</v>
      </c>
      <c r="AL54" s="8">
        <f t="shared" ref="AL54:AL59" si="12">AF54-SUM(AH54:AK54)</f>
        <v>13361</v>
      </c>
      <c r="AN54" s="13"/>
    </row>
    <row r="55" spans="1:42" ht="14.25" customHeight="1">
      <c r="A55" s="24" t="s">
        <v>293</v>
      </c>
      <c r="B55" s="7" t="s">
        <v>652</v>
      </c>
      <c r="C55" s="25" t="s">
        <v>653</v>
      </c>
      <c r="D55" s="39">
        <v>45912</v>
      </c>
      <c r="E55" s="7" t="s">
        <v>45</v>
      </c>
      <c r="F55" s="39">
        <v>35193</v>
      </c>
      <c r="G55" s="7"/>
      <c r="H55" s="7" t="s">
        <v>654</v>
      </c>
      <c r="I55" s="7"/>
      <c r="J55" s="7" t="s">
        <v>136</v>
      </c>
      <c r="K55" s="7" t="s">
        <v>655</v>
      </c>
      <c r="L55" s="7" t="s">
        <v>655</v>
      </c>
      <c r="M55" s="7"/>
      <c r="N55" s="7" t="s">
        <v>656</v>
      </c>
      <c r="O55" s="7">
        <v>766030561836</v>
      </c>
      <c r="P55" s="7" t="s">
        <v>657</v>
      </c>
      <c r="Q55" s="31">
        <v>7294000000049</v>
      </c>
      <c r="R55" s="7" t="s">
        <v>658</v>
      </c>
      <c r="S55" s="7" t="s">
        <v>653</v>
      </c>
      <c r="T55" s="7" t="s">
        <v>174</v>
      </c>
      <c r="U55" s="7">
        <v>8630738106</v>
      </c>
      <c r="V55" s="7" t="s">
        <v>659</v>
      </c>
      <c r="W55" s="24">
        <v>31</v>
      </c>
      <c r="X55" s="25"/>
      <c r="Y55" s="7">
        <f t="shared" si="0"/>
        <v>31</v>
      </c>
      <c r="Z55" s="8">
        <v>24000</v>
      </c>
      <c r="AA55" s="8">
        <v>0</v>
      </c>
      <c r="AB55" s="8">
        <v>4000</v>
      </c>
      <c r="AC55" s="8"/>
      <c r="AD55" s="8">
        <v>4000</v>
      </c>
      <c r="AE55" s="8">
        <f t="shared" si="1"/>
        <v>32000</v>
      </c>
      <c r="AF55" s="8">
        <f t="shared" si="2"/>
        <v>32000</v>
      </c>
      <c r="AG55" s="7"/>
      <c r="AH55" s="8">
        <v>0</v>
      </c>
      <c r="AI55" s="8">
        <v>0</v>
      </c>
      <c r="AJ55" s="7">
        <v>0</v>
      </c>
      <c r="AK55" s="7">
        <v>0</v>
      </c>
      <c r="AL55" s="8">
        <f t="shared" si="12"/>
        <v>32000</v>
      </c>
      <c r="AN55" s="13"/>
    </row>
    <row r="56" spans="1:42" ht="14.25" customHeight="1">
      <c r="A56" s="24" t="s">
        <v>293</v>
      </c>
      <c r="B56" s="7" t="s">
        <v>660</v>
      </c>
      <c r="C56" s="25" t="s">
        <v>661</v>
      </c>
      <c r="D56" s="7" t="s">
        <v>662</v>
      </c>
      <c r="E56" s="7" t="s">
        <v>45</v>
      </c>
      <c r="F56" s="39">
        <v>31635</v>
      </c>
      <c r="G56" s="7"/>
      <c r="H56" s="7" t="s">
        <v>663</v>
      </c>
      <c r="I56" s="7"/>
      <c r="J56" s="7" t="s">
        <v>136</v>
      </c>
      <c r="K56" s="7" t="s">
        <v>609</v>
      </c>
      <c r="L56" s="7" t="s">
        <v>609</v>
      </c>
      <c r="M56" s="7"/>
      <c r="N56" s="7" t="s">
        <v>664</v>
      </c>
      <c r="O56" s="7">
        <v>392853690406</v>
      </c>
      <c r="P56" s="7" t="s">
        <v>665</v>
      </c>
      <c r="Q56" s="31">
        <v>74282930006</v>
      </c>
      <c r="R56" s="7" t="s">
        <v>666</v>
      </c>
      <c r="S56" s="7" t="s">
        <v>661</v>
      </c>
      <c r="T56" s="7" t="s">
        <v>174</v>
      </c>
      <c r="U56" s="7">
        <v>8929230328</v>
      </c>
      <c r="V56" s="7" t="s">
        <v>667</v>
      </c>
      <c r="W56" s="24">
        <v>31</v>
      </c>
      <c r="X56" s="25"/>
      <c r="Y56" s="7">
        <f t="shared" si="0"/>
        <v>31</v>
      </c>
      <c r="Z56" s="8">
        <v>23400</v>
      </c>
      <c r="AA56" s="8"/>
      <c r="AB56" s="8">
        <v>6000</v>
      </c>
      <c r="AC56" s="8"/>
      <c r="AD56" s="8">
        <f>32000-29400</f>
        <v>2600</v>
      </c>
      <c r="AE56" s="8">
        <f t="shared" si="1"/>
        <v>32000</v>
      </c>
      <c r="AF56" s="8">
        <f t="shared" si="2"/>
        <v>32000</v>
      </c>
      <c r="AG56" s="7"/>
      <c r="AH56" s="8"/>
      <c r="AI56" s="8">
        <v>0</v>
      </c>
      <c r="AJ56" s="7">
        <v>0</v>
      </c>
      <c r="AK56" s="7">
        <v>0</v>
      </c>
      <c r="AL56" s="8">
        <f t="shared" si="12"/>
        <v>32000</v>
      </c>
      <c r="AN56" s="13"/>
    </row>
    <row r="57" spans="1:42" ht="14.25" customHeight="1">
      <c r="A57" s="24" t="s">
        <v>293</v>
      </c>
      <c r="B57" s="41" t="s">
        <v>668</v>
      </c>
      <c r="C57" s="42" t="s">
        <v>669</v>
      </c>
      <c r="D57" s="41" t="s">
        <v>670</v>
      </c>
      <c r="E57" s="7" t="s">
        <v>45</v>
      </c>
      <c r="F57" s="43">
        <v>35076</v>
      </c>
      <c r="G57" s="41"/>
      <c r="H57" s="41" t="s">
        <v>671</v>
      </c>
      <c r="I57" s="41"/>
      <c r="J57" s="7" t="s">
        <v>136</v>
      </c>
      <c r="K57" s="41" t="s">
        <v>640</v>
      </c>
      <c r="L57" s="41" t="s">
        <v>640</v>
      </c>
      <c r="M57" s="41"/>
      <c r="N57" s="41" t="s">
        <v>672</v>
      </c>
      <c r="O57" s="41">
        <v>918480195476</v>
      </c>
      <c r="P57" s="41" t="s">
        <v>673</v>
      </c>
      <c r="Q57" s="44">
        <v>79990100007448</v>
      </c>
      <c r="R57" s="41" t="s">
        <v>674</v>
      </c>
      <c r="S57" s="41" t="s">
        <v>669</v>
      </c>
      <c r="T57" s="7" t="s">
        <v>174</v>
      </c>
      <c r="U57" s="41">
        <v>9337818142</v>
      </c>
      <c r="V57" s="41" t="s">
        <v>675</v>
      </c>
      <c r="W57" s="24">
        <v>31</v>
      </c>
      <c r="X57" s="42"/>
      <c r="Y57" s="7">
        <f t="shared" si="0"/>
        <v>31</v>
      </c>
      <c r="Z57" s="45">
        <v>24500</v>
      </c>
      <c r="AA57" s="45"/>
      <c r="AB57" s="45">
        <v>10250</v>
      </c>
      <c r="AC57" s="45"/>
      <c r="AD57" s="45">
        <v>10250</v>
      </c>
      <c r="AE57" s="8">
        <f t="shared" si="1"/>
        <v>45000</v>
      </c>
      <c r="AF57" s="8">
        <f t="shared" si="2"/>
        <v>45000</v>
      </c>
      <c r="AG57" s="41"/>
      <c r="AH57" s="45"/>
      <c r="AI57" s="45"/>
      <c r="AJ57" s="41"/>
      <c r="AK57" s="41"/>
      <c r="AL57" s="8">
        <f t="shared" si="12"/>
        <v>45000</v>
      </c>
      <c r="AN57" s="13"/>
    </row>
    <row r="58" spans="1:42" ht="14.25" customHeight="1">
      <c r="A58" s="46" t="s">
        <v>293</v>
      </c>
      <c r="B58" s="46" t="s">
        <v>676</v>
      </c>
      <c r="C58" s="47" t="s">
        <v>677</v>
      </c>
      <c r="D58" s="46" t="s">
        <v>678</v>
      </c>
      <c r="E58" s="46" t="s">
        <v>45</v>
      </c>
      <c r="F58" s="48">
        <v>38390</v>
      </c>
      <c r="G58" s="41"/>
      <c r="H58" s="46" t="s">
        <v>679</v>
      </c>
      <c r="I58" s="41"/>
      <c r="J58" s="7" t="s">
        <v>136</v>
      </c>
      <c r="K58" s="46" t="s">
        <v>680</v>
      </c>
      <c r="L58" s="46" t="s">
        <v>680</v>
      </c>
      <c r="M58" s="41"/>
      <c r="N58" s="46" t="s">
        <v>681</v>
      </c>
      <c r="O58" s="46">
        <v>793748330718</v>
      </c>
      <c r="P58" s="46" t="s">
        <v>682</v>
      </c>
      <c r="Q58" s="49">
        <v>925010038124759</v>
      </c>
      <c r="R58" s="46" t="s">
        <v>683</v>
      </c>
      <c r="S58" s="46" t="s">
        <v>677</v>
      </c>
      <c r="T58" s="7" t="s">
        <v>174</v>
      </c>
      <c r="U58" s="46">
        <v>9867215089</v>
      </c>
      <c r="V58" s="46" t="s">
        <v>684</v>
      </c>
      <c r="W58" s="46">
        <v>31</v>
      </c>
      <c r="X58" s="47">
        <v>0</v>
      </c>
      <c r="Y58" s="46">
        <v>31</v>
      </c>
      <c r="Z58" s="50">
        <v>21500</v>
      </c>
      <c r="AA58" s="45"/>
      <c r="AB58" s="50">
        <v>3500</v>
      </c>
      <c r="AC58" s="45"/>
      <c r="AD58" s="50">
        <v>0</v>
      </c>
      <c r="AE58" s="50">
        <v>25000</v>
      </c>
      <c r="AF58" s="8">
        <f t="shared" si="2"/>
        <v>25000</v>
      </c>
      <c r="AG58" s="41"/>
      <c r="AH58" s="45"/>
      <c r="AI58" s="45"/>
      <c r="AJ58" s="41"/>
      <c r="AK58" s="41"/>
      <c r="AL58" s="8">
        <f t="shared" si="12"/>
        <v>25000</v>
      </c>
      <c r="AN58" s="13"/>
    </row>
    <row r="59" spans="1:42" ht="14.25" customHeight="1">
      <c r="A59" s="51"/>
      <c r="B59" s="51"/>
      <c r="C59" s="42"/>
      <c r="D59" s="5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13"/>
      <c r="R59" s="41"/>
      <c r="S59" s="41"/>
      <c r="T59" s="41"/>
      <c r="U59" s="41"/>
      <c r="V59" s="41"/>
      <c r="W59" s="41"/>
      <c r="X59" s="42"/>
      <c r="Y59" s="41"/>
      <c r="Z59" s="45"/>
      <c r="AA59" s="45"/>
      <c r="AB59" s="45"/>
      <c r="AC59" s="45"/>
      <c r="AD59" s="45"/>
      <c r="AE59" s="45"/>
      <c r="AF59" s="45"/>
      <c r="AG59" s="41"/>
      <c r="AH59" s="45"/>
      <c r="AI59" s="45"/>
      <c r="AJ59" s="41"/>
      <c r="AK59" s="41"/>
      <c r="AL59" s="8">
        <f t="shared" si="12"/>
        <v>0</v>
      </c>
      <c r="AN59" s="13"/>
    </row>
    <row r="60" spans="1:42" ht="14.25" customHeight="1">
      <c r="A60" s="14"/>
      <c r="B60" s="14">
        <f>COUNTA(B5:B59)</f>
        <v>54</v>
      </c>
      <c r="C60" s="52"/>
      <c r="D60" s="14"/>
      <c r="E60" s="14"/>
      <c r="F60" s="14"/>
      <c r="G60" s="14">
        <f>COUNTA(G5:G55)</f>
        <v>2</v>
      </c>
      <c r="H60" s="14"/>
      <c r="I60" s="14"/>
      <c r="J60" s="14"/>
      <c r="K60" s="14"/>
      <c r="L60" s="14"/>
      <c r="M60" s="14"/>
      <c r="N60" s="14"/>
      <c r="O60" s="14"/>
      <c r="P60" s="14"/>
      <c r="Q60" s="53"/>
      <c r="R60" s="14"/>
      <c r="S60" s="14"/>
      <c r="T60" s="14" t="s">
        <v>225</v>
      </c>
      <c r="U60" s="14"/>
      <c r="V60" s="14"/>
      <c r="W60" s="14"/>
      <c r="X60" s="52"/>
      <c r="Y60" s="14"/>
      <c r="Z60" s="15">
        <f>SUM(Z5:Z59)</f>
        <v>1685341</v>
      </c>
      <c r="AA60" s="15">
        <f>SUM(AA5:AA51)</f>
        <v>0</v>
      </c>
      <c r="AB60" s="15">
        <f>SUM(AB5:AB59)</f>
        <v>625748</v>
      </c>
      <c r="AC60" s="15">
        <f>SUM(AC5:AC51)</f>
        <v>0</v>
      </c>
      <c r="AD60" s="15">
        <f t="shared" ref="AD60:AF60" si="13">SUM(AD5:AD59)</f>
        <v>528074</v>
      </c>
      <c r="AE60" s="15">
        <f t="shared" si="13"/>
        <v>2839163</v>
      </c>
      <c r="AF60" s="15">
        <f t="shared" si="13"/>
        <v>2786441</v>
      </c>
      <c r="AG60" s="15">
        <f>SUM(AG5:AG55)</f>
        <v>3010</v>
      </c>
      <c r="AH60" s="15">
        <f t="shared" ref="AH60:AI60" si="14">SUM(AH5:AH59)</f>
        <v>85212.646833333332</v>
      </c>
      <c r="AI60" s="15">
        <f t="shared" si="14"/>
        <v>9000</v>
      </c>
      <c r="AJ60" s="14">
        <f t="shared" ref="AJ60:AK60" si="15">SUM(AJ5:AJ51)</f>
        <v>2215</v>
      </c>
      <c r="AK60" s="14">
        <f t="shared" si="15"/>
        <v>0</v>
      </c>
      <c r="AL60" s="15">
        <f>SUM(AL5:AL59)</f>
        <v>2693023.3531666668</v>
      </c>
      <c r="AN60" s="54">
        <f>AL60+AI60+AH60</f>
        <v>2787236</v>
      </c>
      <c r="AP60" s="2">
        <f>AL60-2860830</f>
        <v>-167806.64683333319</v>
      </c>
    </row>
    <row r="63" spans="1:42" ht="14.25" customHeight="1">
      <c r="B63" s="13" t="s">
        <v>685</v>
      </c>
      <c r="C63" s="18"/>
      <c r="X63" s="18"/>
      <c r="AE63" s="2"/>
      <c r="AF63" s="2"/>
      <c r="AL63" s="2"/>
    </row>
    <row r="64" spans="1:42" ht="14.25" customHeight="1">
      <c r="C64" s="18"/>
      <c r="X64" s="18"/>
      <c r="AB64" s="2"/>
      <c r="AE64" s="2"/>
      <c r="AF64" s="2"/>
      <c r="AI64" s="13">
        <f>AI60*2</f>
        <v>18000</v>
      </c>
      <c r="AL64" s="2"/>
    </row>
    <row r="65" spans="3:38" ht="14.25" customHeight="1">
      <c r="C65" s="18"/>
      <c r="F65" s="6"/>
      <c r="X65" s="18"/>
      <c r="AB65" s="2"/>
      <c r="AE65" s="2"/>
      <c r="AF65" s="2" t="s">
        <v>686</v>
      </c>
      <c r="AG65" s="2">
        <f>AF60+AG60</f>
        <v>2789451</v>
      </c>
      <c r="AL65" s="2"/>
    </row>
    <row r="66" spans="3:38" ht="14.25" customHeight="1">
      <c r="C66" s="18"/>
      <c r="X66" s="18"/>
      <c r="AA66" s="13"/>
      <c r="AB66" s="2"/>
      <c r="AE66" s="2"/>
      <c r="AF66" s="2" t="s">
        <v>687</v>
      </c>
      <c r="AG66" s="13">
        <v>0</v>
      </c>
      <c r="AL66" s="2"/>
    </row>
    <row r="67" spans="3:38" ht="14.25" customHeight="1">
      <c r="C67" s="18"/>
      <c r="X67" s="18"/>
      <c r="AA67" s="41"/>
      <c r="AB67" s="2"/>
      <c r="AE67" s="2"/>
      <c r="AF67" s="2" t="s">
        <v>35</v>
      </c>
      <c r="AG67" s="2">
        <f>AH60</f>
        <v>85212.646833333332</v>
      </c>
      <c r="AL67" s="2"/>
    </row>
    <row r="68" spans="3:38" ht="14.25" customHeight="1">
      <c r="C68" s="18"/>
      <c r="X68" s="18"/>
      <c r="AA68" s="41"/>
      <c r="AE68" s="2"/>
      <c r="AF68" s="2" t="s">
        <v>688</v>
      </c>
      <c r="AG68" s="2">
        <f>AI60</f>
        <v>9000</v>
      </c>
      <c r="AL68" s="2"/>
    </row>
    <row r="69" spans="3:38" ht="14.25" customHeight="1">
      <c r="C69" s="18"/>
      <c r="X69" s="18"/>
      <c r="AA69" s="41"/>
      <c r="AE69" s="2"/>
      <c r="AF69" s="2" t="s">
        <v>34</v>
      </c>
      <c r="AH69" s="2">
        <f>AG65-AG66-AG67-AG68</f>
        <v>2695238.3531666668</v>
      </c>
    </row>
    <row r="70" spans="3:38" ht="14.25" customHeight="1">
      <c r="C70" s="18"/>
      <c r="X70" s="18"/>
      <c r="AE70" s="2"/>
      <c r="AF70" s="2"/>
      <c r="AL70" s="2"/>
    </row>
    <row r="71" spans="3:38" ht="14.25" customHeight="1">
      <c r="C71" s="18"/>
      <c r="X71" s="18"/>
      <c r="AE71" s="2"/>
      <c r="AF71" s="2"/>
      <c r="AG71" s="2">
        <f>AL60</f>
        <v>2693023.3531666668</v>
      </c>
      <c r="AL71" s="2"/>
    </row>
    <row r="72" spans="3:38" ht="14.25" customHeight="1">
      <c r="C72" s="18"/>
      <c r="X72" s="18"/>
      <c r="AE72" s="2"/>
      <c r="AF72" s="2"/>
      <c r="AL72" s="2"/>
    </row>
    <row r="73" spans="3:38" ht="14.25" customHeight="1">
      <c r="C73" s="18"/>
      <c r="X73" s="18"/>
      <c r="AE73" s="2"/>
      <c r="AF73" s="2"/>
      <c r="AG73" s="2">
        <f>AG69-AG71</f>
        <v>-2693023.3531666668</v>
      </c>
      <c r="AL73" s="2"/>
    </row>
    <row r="74" spans="3:38" ht="14.25" customHeight="1">
      <c r="C74" s="18"/>
      <c r="X74" s="18"/>
      <c r="AE74" s="2"/>
      <c r="AF74" s="2"/>
      <c r="AL74" s="2"/>
    </row>
    <row r="75" spans="3:38" ht="14.25" customHeight="1">
      <c r="C75" s="18"/>
      <c r="X75" s="18"/>
      <c r="AE75" s="2"/>
      <c r="AF75" s="2"/>
      <c r="AL75" s="2"/>
    </row>
    <row r="76" spans="3:38" ht="14.25" customHeight="1">
      <c r="C76" s="18"/>
      <c r="X76" s="18"/>
      <c r="AE76" s="2"/>
      <c r="AF76" s="2"/>
      <c r="AL76" s="2"/>
    </row>
    <row r="77" spans="3:38" ht="14.25" customHeight="1">
      <c r="C77" s="18"/>
      <c r="X77" s="18"/>
      <c r="AE77" s="2"/>
      <c r="AF77" s="2"/>
      <c r="AL77" s="2"/>
    </row>
    <row r="78" spans="3:38" ht="14.25" customHeight="1">
      <c r="C78" s="18"/>
      <c r="X78" s="18"/>
      <c r="AE78" s="2"/>
      <c r="AF78" s="2"/>
      <c r="AL78" s="2"/>
    </row>
    <row r="79" spans="3:38" ht="14.25" customHeight="1">
      <c r="C79" s="18"/>
      <c r="X79" s="18"/>
      <c r="AE79" s="2"/>
      <c r="AF79" s="2"/>
      <c r="AL79" s="2"/>
    </row>
    <row r="80" spans="3:38" ht="14.25" customHeight="1">
      <c r="C80" s="18"/>
      <c r="X80" s="18"/>
      <c r="AE80" s="2"/>
      <c r="AF80" s="2"/>
      <c r="AL80" s="2"/>
    </row>
    <row r="81" spans="3:38" ht="14.25" customHeight="1">
      <c r="C81" s="18"/>
      <c r="X81" s="18"/>
      <c r="AE81" s="2"/>
      <c r="AF81" s="2"/>
      <c r="AL81" s="2"/>
    </row>
    <row r="82" spans="3:38" ht="14.25" customHeight="1">
      <c r="C82" s="18"/>
      <c r="X82" s="18"/>
      <c r="AE82" s="2"/>
      <c r="AF82" s="2"/>
      <c r="AL82" s="2"/>
    </row>
    <row r="83" spans="3:38" ht="14.25" customHeight="1">
      <c r="C83" s="18"/>
      <c r="X83" s="18"/>
      <c r="AE83" s="2"/>
      <c r="AF83" s="2"/>
      <c r="AL83" s="2"/>
    </row>
    <row r="84" spans="3:38" ht="14.25" customHeight="1">
      <c r="C84" s="18"/>
      <c r="X84" s="18"/>
      <c r="AE84" s="2"/>
      <c r="AF84" s="2"/>
      <c r="AL84" s="2"/>
    </row>
    <row r="85" spans="3:38" ht="14.25" customHeight="1">
      <c r="C85" s="18"/>
      <c r="X85" s="18"/>
      <c r="AE85" s="2"/>
      <c r="AF85" s="2"/>
      <c r="AL85" s="2"/>
    </row>
    <row r="86" spans="3:38" ht="14.25" customHeight="1">
      <c r="C86" s="18"/>
      <c r="X86" s="18"/>
      <c r="AE86" s="2"/>
      <c r="AF86" s="2"/>
      <c r="AL86" s="2"/>
    </row>
    <row r="87" spans="3:38" ht="14.25" customHeight="1">
      <c r="C87" s="18"/>
      <c r="X87" s="18"/>
      <c r="AE87" s="2"/>
      <c r="AF87" s="2"/>
      <c r="AL87" s="2"/>
    </row>
    <row r="88" spans="3:38" ht="14.25" customHeight="1">
      <c r="C88" s="18"/>
      <c r="X88" s="18"/>
      <c r="AE88" s="2"/>
      <c r="AF88" s="2"/>
      <c r="AL88" s="2"/>
    </row>
    <row r="89" spans="3:38" ht="14.25" customHeight="1">
      <c r="C89" s="18"/>
      <c r="X89" s="18"/>
      <c r="AE89" s="2"/>
      <c r="AF89" s="2"/>
      <c r="AL89" s="2"/>
    </row>
    <row r="90" spans="3:38" ht="14.25" customHeight="1">
      <c r="C90" s="18"/>
      <c r="X90" s="18"/>
      <c r="AE90" s="2"/>
      <c r="AF90" s="2"/>
      <c r="AL90" s="2"/>
    </row>
    <row r="91" spans="3:38" ht="14.25" customHeight="1">
      <c r="C91" s="18"/>
      <c r="X91" s="18"/>
      <c r="AE91" s="2"/>
      <c r="AF91" s="2"/>
      <c r="AL91" s="2"/>
    </row>
    <row r="92" spans="3:38" ht="14.25" customHeight="1">
      <c r="C92" s="18"/>
      <c r="X92" s="18"/>
      <c r="AE92" s="2"/>
      <c r="AF92" s="2"/>
      <c r="AL92" s="2"/>
    </row>
    <row r="93" spans="3:38" ht="14.25" customHeight="1">
      <c r="C93" s="18"/>
      <c r="X93" s="18"/>
      <c r="AE93" s="2"/>
      <c r="AF93" s="2"/>
      <c r="AL93" s="2"/>
    </row>
    <row r="94" spans="3:38" ht="14.25" customHeight="1">
      <c r="C94" s="18"/>
      <c r="X94" s="18"/>
      <c r="AE94" s="2"/>
      <c r="AF94" s="2"/>
      <c r="AL94" s="2"/>
    </row>
    <row r="95" spans="3:38" ht="14.25" customHeight="1">
      <c r="C95" s="18"/>
      <c r="X95" s="18"/>
      <c r="AE95" s="2"/>
      <c r="AF95" s="2"/>
      <c r="AL95" s="2"/>
    </row>
    <row r="96" spans="3:38" ht="14.25" customHeight="1">
      <c r="C96" s="18"/>
      <c r="X96" s="18"/>
      <c r="AE96" s="2"/>
      <c r="AF96" s="2"/>
      <c r="AL96" s="2"/>
    </row>
    <row r="97" spans="3:38" ht="14.25" customHeight="1">
      <c r="C97" s="18"/>
      <c r="X97" s="18"/>
      <c r="AE97" s="2"/>
      <c r="AF97" s="2"/>
      <c r="AL97" s="2"/>
    </row>
    <row r="98" spans="3:38" ht="14.25" customHeight="1">
      <c r="C98" s="18"/>
      <c r="X98" s="18"/>
      <c r="AE98" s="2"/>
      <c r="AF98" s="2"/>
      <c r="AL98" s="2"/>
    </row>
    <row r="99" spans="3:38" ht="14.25" customHeight="1">
      <c r="C99" s="18"/>
      <c r="X99" s="18"/>
      <c r="AE99" s="2"/>
      <c r="AF99" s="2"/>
      <c r="AL99" s="2"/>
    </row>
    <row r="100" spans="3:38" ht="14.25" customHeight="1">
      <c r="C100" s="18"/>
      <c r="X100" s="18"/>
      <c r="AE100" s="2"/>
      <c r="AF100" s="2"/>
      <c r="AL100" s="2"/>
    </row>
    <row r="101" spans="3:38" ht="14.25" customHeight="1">
      <c r="C101" s="18"/>
      <c r="X101" s="18"/>
      <c r="AE101" s="2"/>
      <c r="AF101" s="2"/>
      <c r="AL101" s="2"/>
    </row>
    <row r="102" spans="3:38" ht="14.25" customHeight="1">
      <c r="C102" s="18"/>
      <c r="X102" s="18"/>
      <c r="AE102" s="2"/>
      <c r="AF102" s="2"/>
      <c r="AL102" s="2"/>
    </row>
    <row r="103" spans="3:38" ht="14.25" customHeight="1">
      <c r="C103" s="18"/>
      <c r="X103" s="18"/>
      <c r="AE103" s="2"/>
      <c r="AF103" s="2"/>
      <c r="AL103" s="2"/>
    </row>
    <row r="104" spans="3:38" ht="14.25" customHeight="1">
      <c r="C104" s="18"/>
      <c r="X104" s="18"/>
      <c r="AE104" s="2"/>
      <c r="AF104" s="2"/>
      <c r="AL104" s="2"/>
    </row>
    <row r="105" spans="3:38" ht="14.25" customHeight="1">
      <c r="C105" s="18"/>
      <c r="X105" s="18"/>
      <c r="AE105" s="2"/>
      <c r="AF105" s="2"/>
      <c r="AL105" s="2"/>
    </row>
    <row r="106" spans="3:38" ht="14.25" customHeight="1">
      <c r="C106" s="18"/>
      <c r="X106" s="18"/>
      <c r="AE106" s="2"/>
      <c r="AF106" s="2"/>
      <c r="AL106" s="2"/>
    </row>
    <row r="107" spans="3:38" ht="14.25" customHeight="1">
      <c r="C107" s="18"/>
      <c r="X107" s="18"/>
      <c r="AE107" s="2"/>
      <c r="AF107" s="2"/>
      <c r="AL107" s="2"/>
    </row>
    <row r="108" spans="3:38" ht="14.25" customHeight="1">
      <c r="C108" s="18"/>
      <c r="X108" s="18"/>
      <c r="AE108" s="2"/>
      <c r="AF108" s="2"/>
      <c r="AL108" s="2"/>
    </row>
    <row r="109" spans="3:38" ht="14.25" customHeight="1">
      <c r="C109" s="18"/>
      <c r="X109" s="18"/>
      <c r="AE109" s="2"/>
      <c r="AF109" s="2"/>
      <c r="AL109" s="2"/>
    </row>
    <row r="110" spans="3:38" ht="14.25" customHeight="1">
      <c r="C110" s="18"/>
      <c r="X110" s="18"/>
      <c r="AE110" s="2"/>
      <c r="AF110" s="2"/>
      <c r="AL110" s="2"/>
    </row>
    <row r="111" spans="3:38" ht="14.25" customHeight="1">
      <c r="C111" s="18"/>
      <c r="X111" s="18"/>
      <c r="AE111" s="2"/>
      <c r="AF111" s="2"/>
      <c r="AL111" s="2"/>
    </row>
    <row r="112" spans="3:38" ht="14.25" customHeight="1">
      <c r="C112" s="18"/>
      <c r="X112" s="18"/>
      <c r="AE112" s="2"/>
      <c r="AF112" s="2"/>
      <c r="AL112" s="2"/>
    </row>
    <row r="113" spans="3:38" ht="14.25" customHeight="1">
      <c r="C113" s="18"/>
      <c r="X113" s="18"/>
      <c r="AE113" s="2"/>
      <c r="AF113" s="2"/>
      <c r="AL113" s="2"/>
    </row>
    <row r="114" spans="3:38" ht="14.25" customHeight="1">
      <c r="C114" s="18"/>
      <c r="X114" s="18"/>
      <c r="AE114" s="2"/>
      <c r="AF114" s="2"/>
      <c r="AL114" s="2"/>
    </row>
    <row r="115" spans="3:38" ht="14.25" customHeight="1">
      <c r="C115" s="18"/>
      <c r="X115" s="18"/>
      <c r="AE115" s="2"/>
      <c r="AF115" s="2"/>
      <c r="AL115" s="2"/>
    </row>
    <row r="116" spans="3:38" ht="14.25" customHeight="1">
      <c r="C116" s="18"/>
      <c r="X116" s="18"/>
      <c r="AE116" s="2"/>
      <c r="AF116" s="2"/>
      <c r="AL116" s="2"/>
    </row>
    <row r="117" spans="3:38" ht="14.25" customHeight="1">
      <c r="C117" s="18"/>
      <c r="X117" s="18"/>
      <c r="AE117" s="2"/>
      <c r="AF117" s="2"/>
      <c r="AL117" s="2"/>
    </row>
    <row r="118" spans="3:38" ht="14.25" customHeight="1">
      <c r="C118" s="18"/>
      <c r="X118" s="18"/>
      <c r="AE118" s="2"/>
      <c r="AF118" s="2"/>
      <c r="AL118" s="2"/>
    </row>
    <row r="119" spans="3:38" ht="14.25" customHeight="1">
      <c r="C119" s="18"/>
      <c r="X119" s="18"/>
      <c r="AE119" s="2"/>
      <c r="AF119" s="2"/>
      <c r="AL119" s="2"/>
    </row>
    <row r="120" spans="3:38" ht="14.25" customHeight="1">
      <c r="C120" s="18"/>
      <c r="X120" s="18"/>
      <c r="AE120" s="2"/>
      <c r="AF120" s="2"/>
      <c r="AL120" s="2"/>
    </row>
    <row r="121" spans="3:38" ht="14.25" customHeight="1">
      <c r="C121" s="18"/>
      <c r="X121" s="18"/>
      <c r="AE121" s="2"/>
      <c r="AF121" s="2"/>
      <c r="AL121" s="2"/>
    </row>
    <row r="122" spans="3:38" ht="14.25" customHeight="1">
      <c r="C122" s="18"/>
      <c r="X122" s="18"/>
      <c r="AE122" s="2"/>
      <c r="AF122" s="2"/>
      <c r="AL122" s="2"/>
    </row>
    <row r="123" spans="3:38" ht="14.25" customHeight="1">
      <c r="C123" s="18"/>
      <c r="X123" s="18"/>
      <c r="AE123" s="2"/>
      <c r="AF123" s="2"/>
      <c r="AL123" s="2"/>
    </row>
    <row r="124" spans="3:38" ht="14.25" customHeight="1">
      <c r="C124" s="18"/>
      <c r="X124" s="18"/>
      <c r="AE124" s="2"/>
      <c r="AF124" s="2"/>
      <c r="AL124" s="2"/>
    </row>
    <row r="125" spans="3:38" ht="14.25" customHeight="1">
      <c r="C125" s="18"/>
      <c r="X125" s="18"/>
      <c r="AE125" s="2"/>
      <c r="AF125" s="2"/>
      <c r="AL125" s="2"/>
    </row>
    <row r="126" spans="3:38" ht="14.25" customHeight="1">
      <c r="C126" s="18"/>
      <c r="X126" s="18"/>
      <c r="AE126" s="2"/>
      <c r="AF126" s="2"/>
      <c r="AL126" s="2"/>
    </row>
    <row r="127" spans="3:38" ht="14.25" customHeight="1">
      <c r="C127" s="18"/>
      <c r="X127" s="18"/>
      <c r="AE127" s="2"/>
      <c r="AF127" s="2"/>
      <c r="AL127" s="2"/>
    </row>
    <row r="128" spans="3:38" ht="14.25" customHeight="1">
      <c r="C128" s="18"/>
      <c r="X128" s="18"/>
      <c r="AE128" s="2"/>
      <c r="AF128" s="2"/>
      <c r="AL128" s="2"/>
    </row>
    <row r="129" spans="3:38" ht="14.25" customHeight="1">
      <c r="C129" s="18"/>
      <c r="X129" s="18"/>
      <c r="AE129" s="2"/>
      <c r="AF129" s="2"/>
      <c r="AL129" s="2"/>
    </row>
    <row r="130" spans="3:38" ht="14.25" customHeight="1">
      <c r="C130" s="18"/>
      <c r="X130" s="18"/>
      <c r="AE130" s="2"/>
      <c r="AF130" s="2"/>
      <c r="AL130" s="2"/>
    </row>
    <row r="131" spans="3:38" ht="14.25" customHeight="1">
      <c r="C131" s="18"/>
      <c r="X131" s="18"/>
      <c r="AE131" s="2"/>
      <c r="AF131" s="2"/>
      <c r="AL131" s="2"/>
    </row>
    <row r="132" spans="3:38" ht="14.25" customHeight="1">
      <c r="C132" s="18"/>
      <c r="X132" s="18"/>
      <c r="AE132" s="2"/>
      <c r="AF132" s="2"/>
      <c r="AL132" s="2"/>
    </row>
    <row r="133" spans="3:38" ht="14.25" customHeight="1">
      <c r="C133" s="18"/>
      <c r="X133" s="18"/>
      <c r="AE133" s="2"/>
      <c r="AF133" s="2"/>
      <c r="AL133" s="2"/>
    </row>
    <row r="134" spans="3:38" ht="14.25" customHeight="1">
      <c r="C134" s="18"/>
      <c r="X134" s="18"/>
      <c r="AE134" s="2"/>
      <c r="AF134" s="2"/>
      <c r="AL134" s="2"/>
    </row>
    <row r="135" spans="3:38" ht="14.25" customHeight="1">
      <c r="C135" s="18"/>
      <c r="X135" s="18"/>
      <c r="AE135" s="2"/>
      <c r="AF135" s="2"/>
      <c r="AL135" s="2"/>
    </row>
    <row r="136" spans="3:38" ht="14.25" customHeight="1">
      <c r="C136" s="18"/>
      <c r="X136" s="18"/>
      <c r="AE136" s="2"/>
      <c r="AF136" s="2"/>
      <c r="AL136" s="2"/>
    </row>
    <row r="137" spans="3:38" ht="14.25" customHeight="1">
      <c r="C137" s="18"/>
      <c r="X137" s="18"/>
      <c r="AE137" s="2"/>
      <c r="AF137" s="2"/>
      <c r="AL137" s="2"/>
    </row>
    <row r="138" spans="3:38" ht="14.25" customHeight="1">
      <c r="C138" s="18"/>
      <c r="X138" s="18"/>
      <c r="AE138" s="2"/>
      <c r="AF138" s="2"/>
      <c r="AL138" s="2"/>
    </row>
    <row r="139" spans="3:38" ht="14.25" customHeight="1">
      <c r="C139" s="18"/>
      <c r="X139" s="18"/>
      <c r="AE139" s="2"/>
      <c r="AF139" s="2"/>
      <c r="AL139" s="2"/>
    </row>
    <row r="140" spans="3:38" ht="14.25" customHeight="1">
      <c r="C140" s="18"/>
      <c r="X140" s="18"/>
      <c r="AE140" s="2"/>
      <c r="AF140" s="2"/>
      <c r="AL140" s="2"/>
    </row>
    <row r="141" spans="3:38" ht="14.25" customHeight="1">
      <c r="C141" s="18"/>
      <c r="X141" s="18"/>
      <c r="AE141" s="2"/>
      <c r="AF141" s="2"/>
      <c r="AL141" s="2"/>
    </row>
    <row r="142" spans="3:38" ht="14.25" customHeight="1">
      <c r="C142" s="18"/>
      <c r="X142" s="18"/>
      <c r="AE142" s="2"/>
      <c r="AF142" s="2"/>
      <c r="AL142" s="2"/>
    </row>
    <row r="143" spans="3:38" ht="14.25" customHeight="1">
      <c r="C143" s="18"/>
      <c r="X143" s="18"/>
      <c r="AE143" s="2"/>
      <c r="AF143" s="2"/>
      <c r="AL143" s="2"/>
    </row>
    <row r="144" spans="3:38" ht="14.25" customHeight="1">
      <c r="C144" s="18"/>
      <c r="X144" s="18"/>
      <c r="AE144" s="2"/>
      <c r="AF144" s="2"/>
      <c r="AL144" s="2"/>
    </row>
    <row r="145" spans="3:38" ht="14.25" customHeight="1">
      <c r="C145" s="18"/>
      <c r="X145" s="18"/>
      <c r="AE145" s="2"/>
      <c r="AF145" s="2"/>
      <c r="AL145" s="2"/>
    </row>
    <row r="146" spans="3:38" ht="14.25" customHeight="1">
      <c r="C146" s="18"/>
      <c r="X146" s="18"/>
      <c r="AE146" s="2"/>
      <c r="AF146" s="2"/>
      <c r="AL146" s="2"/>
    </row>
    <row r="147" spans="3:38" ht="14.25" customHeight="1">
      <c r="C147" s="18"/>
      <c r="X147" s="18"/>
      <c r="AE147" s="2"/>
      <c r="AF147" s="2"/>
      <c r="AL147" s="2"/>
    </row>
    <row r="148" spans="3:38" ht="14.25" customHeight="1">
      <c r="C148" s="18"/>
      <c r="X148" s="18"/>
      <c r="AE148" s="2"/>
      <c r="AF148" s="2"/>
      <c r="AL148" s="2"/>
    </row>
    <row r="149" spans="3:38" ht="14.25" customHeight="1">
      <c r="C149" s="18"/>
      <c r="X149" s="18"/>
      <c r="AE149" s="2"/>
      <c r="AF149" s="2"/>
      <c r="AL149" s="2"/>
    </row>
    <row r="150" spans="3:38" ht="14.25" customHeight="1">
      <c r="C150" s="18"/>
      <c r="X150" s="18"/>
      <c r="AE150" s="2"/>
      <c r="AF150" s="2"/>
      <c r="AL150" s="2"/>
    </row>
    <row r="151" spans="3:38" ht="14.25" customHeight="1">
      <c r="C151" s="18"/>
      <c r="X151" s="18"/>
      <c r="AE151" s="2"/>
      <c r="AF151" s="2"/>
      <c r="AL151" s="2"/>
    </row>
    <row r="152" spans="3:38" ht="14.25" customHeight="1">
      <c r="C152" s="18"/>
      <c r="X152" s="18"/>
      <c r="AE152" s="2"/>
      <c r="AF152" s="2"/>
      <c r="AL152" s="2"/>
    </row>
    <row r="153" spans="3:38" ht="14.25" customHeight="1">
      <c r="C153" s="18"/>
      <c r="X153" s="18"/>
      <c r="AE153" s="2"/>
      <c r="AF153" s="2"/>
      <c r="AL153" s="2"/>
    </row>
    <row r="154" spans="3:38" ht="14.25" customHeight="1">
      <c r="C154" s="18"/>
      <c r="X154" s="18"/>
      <c r="AE154" s="2"/>
      <c r="AF154" s="2"/>
      <c r="AL154" s="2"/>
    </row>
    <row r="155" spans="3:38" ht="14.25" customHeight="1">
      <c r="C155" s="18"/>
      <c r="X155" s="18"/>
      <c r="AE155" s="2"/>
      <c r="AF155" s="2"/>
      <c r="AL155" s="2"/>
    </row>
    <row r="156" spans="3:38" ht="14.25" customHeight="1">
      <c r="C156" s="18"/>
      <c r="X156" s="18"/>
      <c r="AE156" s="2"/>
      <c r="AF156" s="2"/>
      <c r="AL156" s="2"/>
    </row>
    <row r="157" spans="3:38" ht="14.25" customHeight="1">
      <c r="C157" s="18"/>
      <c r="X157" s="18"/>
      <c r="AE157" s="2"/>
      <c r="AF157" s="2"/>
      <c r="AL157" s="2"/>
    </row>
    <row r="158" spans="3:38" ht="14.25" customHeight="1">
      <c r="C158" s="18"/>
      <c r="X158" s="18"/>
      <c r="AE158" s="2"/>
      <c r="AF158" s="2"/>
      <c r="AL158" s="2"/>
    </row>
    <row r="159" spans="3:38" ht="14.25" customHeight="1">
      <c r="C159" s="18"/>
      <c r="X159" s="18"/>
      <c r="AE159" s="2"/>
      <c r="AF159" s="2"/>
      <c r="AL159" s="2"/>
    </row>
    <row r="160" spans="3:38" ht="14.25" customHeight="1">
      <c r="C160" s="18"/>
      <c r="X160" s="18"/>
      <c r="AE160" s="2"/>
      <c r="AF160" s="2"/>
      <c r="AL160" s="2"/>
    </row>
    <row r="161" spans="3:38" ht="14.25" customHeight="1">
      <c r="C161" s="18"/>
      <c r="X161" s="18"/>
      <c r="AE161" s="2"/>
      <c r="AF161" s="2"/>
      <c r="AL161" s="2"/>
    </row>
    <row r="162" spans="3:38" ht="14.25" customHeight="1">
      <c r="C162" s="18"/>
      <c r="X162" s="18"/>
      <c r="AE162" s="2"/>
      <c r="AF162" s="2"/>
      <c r="AL162" s="2"/>
    </row>
    <row r="163" spans="3:38" ht="14.25" customHeight="1">
      <c r="C163" s="18"/>
      <c r="X163" s="18"/>
      <c r="AE163" s="2"/>
      <c r="AF163" s="2"/>
      <c r="AL163" s="2"/>
    </row>
    <row r="164" spans="3:38" ht="14.25" customHeight="1">
      <c r="C164" s="18"/>
      <c r="X164" s="18"/>
      <c r="AE164" s="2"/>
      <c r="AF164" s="2"/>
      <c r="AL164" s="2"/>
    </row>
    <row r="165" spans="3:38" ht="14.25" customHeight="1">
      <c r="C165" s="18"/>
      <c r="X165" s="18"/>
      <c r="AE165" s="2"/>
      <c r="AF165" s="2"/>
      <c r="AL165" s="2"/>
    </row>
    <row r="166" spans="3:38" ht="14.25" customHeight="1">
      <c r="C166" s="18"/>
      <c r="X166" s="18"/>
      <c r="AE166" s="2"/>
      <c r="AF166" s="2"/>
      <c r="AL166" s="2"/>
    </row>
    <row r="167" spans="3:38" ht="14.25" customHeight="1">
      <c r="C167" s="18"/>
      <c r="X167" s="18"/>
      <c r="AE167" s="2"/>
      <c r="AF167" s="2"/>
      <c r="AL167" s="2"/>
    </row>
    <row r="168" spans="3:38" ht="14.25" customHeight="1">
      <c r="C168" s="18"/>
      <c r="X168" s="18"/>
      <c r="AE168" s="2"/>
      <c r="AF168" s="2"/>
      <c r="AL168" s="2"/>
    </row>
    <row r="169" spans="3:38" ht="14.25" customHeight="1">
      <c r="C169" s="18"/>
      <c r="X169" s="18"/>
      <c r="AE169" s="2"/>
      <c r="AF169" s="2"/>
      <c r="AL169" s="2"/>
    </row>
    <row r="170" spans="3:38" ht="14.25" customHeight="1">
      <c r="C170" s="18"/>
      <c r="X170" s="18"/>
      <c r="AE170" s="2"/>
      <c r="AF170" s="2"/>
      <c r="AL170" s="2"/>
    </row>
    <row r="171" spans="3:38" ht="14.25" customHeight="1">
      <c r="C171" s="18"/>
      <c r="X171" s="18"/>
      <c r="AE171" s="2"/>
      <c r="AF171" s="2"/>
      <c r="AL171" s="2"/>
    </row>
    <row r="172" spans="3:38" ht="14.25" customHeight="1">
      <c r="C172" s="18"/>
      <c r="X172" s="18"/>
      <c r="AE172" s="2"/>
      <c r="AF172" s="2"/>
      <c r="AL172" s="2"/>
    </row>
    <row r="173" spans="3:38" ht="14.25" customHeight="1">
      <c r="C173" s="18"/>
      <c r="X173" s="18"/>
      <c r="AE173" s="2"/>
      <c r="AF173" s="2"/>
      <c r="AL173" s="2"/>
    </row>
    <row r="174" spans="3:38" ht="14.25" customHeight="1">
      <c r="C174" s="18"/>
      <c r="X174" s="18"/>
      <c r="AE174" s="2"/>
      <c r="AF174" s="2"/>
      <c r="AL174" s="2"/>
    </row>
    <row r="175" spans="3:38" ht="14.25" customHeight="1">
      <c r="C175" s="18"/>
      <c r="X175" s="18"/>
      <c r="AE175" s="2"/>
      <c r="AF175" s="2"/>
      <c r="AL175" s="2"/>
    </row>
    <row r="176" spans="3:38" ht="14.25" customHeight="1">
      <c r="C176" s="18"/>
      <c r="X176" s="18"/>
      <c r="AE176" s="2"/>
      <c r="AF176" s="2"/>
      <c r="AL176" s="2"/>
    </row>
    <row r="177" spans="3:38" ht="14.25" customHeight="1">
      <c r="C177" s="18"/>
      <c r="X177" s="18"/>
      <c r="AE177" s="2"/>
      <c r="AF177" s="2"/>
      <c r="AL177" s="2"/>
    </row>
    <row r="178" spans="3:38" ht="14.25" customHeight="1">
      <c r="C178" s="18"/>
      <c r="X178" s="18"/>
      <c r="AE178" s="2"/>
      <c r="AF178" s="2"/>
      <c r="AL178" s="2"/>
    </row>
    <row r="179" spans="3:38" ht="14.25" customHeight="1">
      <c r="C179" s="18"/>
      <c r="X179" s="18"/>
      <c r="AE179" s="2"/>
      <c r="AF179" s="2"/>
      <c r="AL179" s="2"/>
    </row>
    <row r="180" spans="3:38" ht="14.25" customHeight="1">
      <c r="C180" s="18"/>
      <c r="X180" s="18"/>
      <c r="AE180" s="2"/>
      <c r="AF180" s="2"/>
      <c r="AL180" s="2"/>
    </row>
    <row r="181" spans="3:38" ht="14.25" customHeight="1">
      <c r="C181" s="18"/>
      <c r="X181" s="18"/>
      <c r="AE181" s="2"/>
      <c r="AF181" s="2"/>
      <c r="AL181" s="2"/>
    </row>
    <row r="182" spans="3:38" ht="14.25" customHeight="1">
      <c r="C182" s="18"/>
      <c r="X182" s="18"/>
      <c r="AE182" s="2"/>
      <c r="AF182" s="2"/>
      <c r="AL182" s="2"/>
    </row>
    <row r="183" spans="3:38" ht="14.25" customHeight="1">
      <c r="C183" s="18"/>
      <c r="X183" s="18"/>
      <c r="AE183" s="2"/>
      <c r="AF183" s="2"/>
      <c r="AL183" s="2"/>
    </row>
    <row r="184" spans="3:38" ht="14.25" customHeight="1">
      <c r="C184" s="18"/>
      <c r="X184" s="18"/>
      <c r="AE184" s="2"/>
      <c r="AF184" s="2"/>
      <c r="AL184" s="2"/>
    </row>
    <row r="185" spans="3:38" ht="14.25" customHeight="1">
      <c r="C185" s="18"/>
      <c r="X185" s="18"/>
      <c r="AE185" s="2"/>
      <c r="AF185" s="2"/>
      <c r="AL185" s="2"/>
    </row>
    <row r="186" spans="3:38" ht="14.25" customHeight="1">
      <c r="C186" s="18"/>
      <c r="X186" s="18"/>
      <c r="AE186" s="2"/>
      <c r="AF186" s="2"/>
      <c r="AL186" s="2"/>
    </row>
    <row r="187" spans="3:38" ht="14.25" customHeight="1">
      <c r="C187" s="18"/>
      <c r="X187" s="18"/>
      <c r="AE187" s="2"/>
      <c r="AF187" s="2"/>
      <c r="AL187" s="2"/>
    </row>
    <row r="188" spans="3:38" ht="14.25" customHeight="1">
      <c r="C188" s="18"/>
      <c r="X188" s="18"/>
      <c r="AE188" s="2"/>
      <c r="AF188" s="2"/>
      <c r="AL188" s="2"/>
    </row>
    <row r="189" spans="3:38" ht="14.25" customHeight="1">
      <c r="C189" s="18"/>
      <c r="X189" s="18"/>
      <c r="AE189" s="2"/>
      <c r="AF189" s="2"/>
      <c r="AL189" s="2"/>
    </row>
    <row r="190" spans="3:38" ht="14.25" customHeight="1">
      <c r="C190" s="18"/>
      <c r="X190" s="18"/>
      <c r="AE190" s="2"/>
      <c r="AF190" s="2"/>
      <c r="AL190" s="2"/>
    </row>
    <row r="191" spans="3:38" ht="14.25" customHeight="1">
      <c r="C191" s="18"/>
      <c r="X191" s="18"/>
      <c r="AE191" s="2"/>
      <c r="AF191" s="2"/>
      <c r="AL191" s="2"/>
    </row>
    <row r="192" spans="3:38" ht="14.25" customHeight="1">
      <c r="C192" s="18"/>
      <c r="X192" s="18"/>
      <c r="AE192" s="2"/>
      <c r="AF192" s="2"/>
      <c r="AL192" s="2"/>
    </row>
    <row r="193" spans="3:38" ht="14.25" customHeight="1">
      <c r="C193" s="18"/>
      <c r="X193" s="18"/>
      <c r="AE193" s="2"/>
      <c r="AF193" s="2"/>
      <c r="AL193" s="2"/>
    </row>
    <row r="194" spans="3:38" ht="14.25" customHeight="1">
      <c r="C194" s="18"/>
      <c r="X194" s="18"/>
      <c r="AE194" s="2"/>
      <c r="AF194" s="2"/>
      <c r="AL194" s="2"/>
    </row>
    <row r="195" spans="3:38" ht="14.25" customHeight="1">
      <c r="C195" s="18"/>
      <c r="X195" s="18"/>
      <c r="AE195" s="2"/>
      <c r="AF195" s="2"/>
      <c r="AL195" s="2"/>
    </row>
    <row r="196" spans="3:38" ht="14.25" customHeight="1">
      <c r="C196" s="18"/>
      <c r="X196" s="18"/>
      <c r="AE196" s="2"/>
      <c r="AF196" s="2"/>
      <c r="AL196" s="2"/>
    </row>
    <row r="197" spans="3:38" ht="14.25" customHeight="1">
      <c r="C197" s="18"/>
      <c r="X197" s="18"/>
      <c r="AE197" s="2"/>
      <c r="AF197" s="2"/>
      <c r="AL197" s="2"/>
    </row>
    <row r="198" spans="3:38" ht="14.25" customHeight="1">
      <c r="C198" s="18"/>
      <c r="X198" s="18"/>
      <c r="AE198" s="2"/>
      <c r="AF198" s="2"/>
      <c r="AL198" s="2"/>
    </row>
    <row r="199" spans="3:38" ht="14.25" customHeight="1">
      <c r="C199" s="18"/>
      <c r="X199" s="18"/>
      <c r="AE199" s="2"/>
      <c r="AF199" s="2"/>
      <c r="AL199" s="2"/>
    </row>
    <row r="200" spans="3:38" ht="14.25" customHeight="1">
      <c r="C200" s="18"/>
      <c r="X200" s="18"/>
      <c r="AE200" s="2"/>
      <c r="AF200" s="2"/>
      <c r="AL200" s="2"/>
    </row>
    <row r="201" spans="3:38" ht="14.25" customHeight="1">
      <c r="C201" s="18"/>
      <c r="X201" s="18"/>
      <c r="AE201" s="2"/>
      <c r="AF201" s="2"/>
      <c r="AL201" s="2"/>
    </row>
    <row r="202" spans="3:38" ht="14.25" customHeight="1">
      <c r="C202" s="18"/>
      <c r="X202" s="18"/>
      <c r="AE202" s="2"/>
      <c r="AF202" s="2"/>
      <c r="AL202" s="2"/>
    </row>
    <row r="203" spans="3:38" ht="14.25" customHeight="1">
      <c r="C203" s="18"/>
      <c r="X203" s="18"/>
      <c r="AE203" s="2"/>
      <c r="AF203" s="2"/>
      <c r="AL203" s="2"/>
    </row>
    <row r="204" spans="3:38" ht="14.25" customHeight="1">
      <c r="C204" s="18"/>
      <c r="X204" s="18"/>
      <c r="AE204" s="2"/>
      <c r="AF204" s="2"/>
      <c r="AL204" s="2"/>
    </row>
    <row r="205" spans="3:38" ht="14.25" customHeight="1">
      <c r="C205" s="18"/>
      <c r="X205" s="18"/>
      <c r="AE205" s="2"/>
      <c r="AF205" s="2"/>
      <c r="AL205" s="2"/>
    </row>
    <row r="206" spans="3:38" ht="14.25" customHeight="1">
      <c r="C206" s="18"/>
      <c r="X206" s="18"/>
      <c r="AE206" s="2"/>
      <c r="AF206" s="2"/>
      <c r="AL206" s="2"/>
    </row>
    <row r="207" spans="3:38" ht="14.25" customHeight="1">
      <c r="C207" s="18"/>
      <c r="X207" s="18"/>
      <c r="AE207" s="2"/>
      <c r="AF207" s="2"/>
      <c r="AL207" s="2"/>
    </row>
    <row r="208" spans="3:38" ht="14.25" customHeight="1">
      <c r="C208" s="18"/>
      <c r="X208" s="18"/>
      <c r="AE208" s="2"/>
      <c r="AF208" s="2"/>
      <c r="AL208" s="2"/>
    </row>
    <row r="209" spans="3:38" ht="14.25" customHeight="1">
      <c r="C209" s="18"/>
      <c r="X209" s="18"/>
      <c r="AE209" s="2"/>
      <c r="AF209" s="2"/>
      <c r="AL209" s="2"/>
    </row>
    <row r="210" spans="3:38" ht="14.25" customHeight="1">
      <c r="C210" s="18"/>
      <c r="X210" s="18"/>
      <c r="AE210" s="2"/>
      <c r="AF210" s="2"/>
      <c r="AL210" s="2"/>
    </row>
    <row r="211" spans="3:38" ht="14.25" customHeight="1">
      <c r="C211" s="18"/>
      <c r="X211" s="18"/>
      <c r="AE211" s="2"/>
      <c r="AF211" s="2"/>
      <c r="AL211" s="2"/>
    </row>
    <row r="212" spans="3:38" ht="14.25" customHeight="1">
      <c r="C212" s="18"/>
      <c r="X212" s="18"/>
      <c r="AE212" s="2"/>
      <c r="AF212" s="2"/>
      <c r="AL212" s="2"/>
    </row>
    <row r="213" spans="3:38" ht="14.25" customHeight="1">
      <c r="C213" s="18"/>
      <c r="X213" s="18"/>
      <c r="AE213" s="2"/>
      <c r="AF213" s="2"/>
      <c r="AL213" s="2"/>
    </row>
    <row r="214" spans="3:38" ht="14.25" customHeight="1">
      <c r="C214" s="18"/>
      <c r="X214" s="18"/>
      <c r="AE214" s="2"/>
      <c r="AF214" s="2"/>
      <c r="AL214" s="2"/>
    </row>
    <row r="215" spans="3:38" ht="14.25" customHeight="1">
      <c r="C215" s="18"/>
      <c r="X215" s="18"/>
      <c r="AE215" s="2"/>
      <c r="AF215" s="2"/>
      <c r="AL215" s="2"/>
    </row>
    <row r="216" spans="3:38" ht="14.25" customHeight="1">
      <c r="C216" s="18"/>
      <c r="X216" s="18"/>
      <c r="AE216" s="2"/>
      <c r="AF216" s="2"/>
      <c r="AL216" s="2"/>
    </row>
    <row r="217" spans="3:38" ht="14.25" customHeight="1">
      <c r="C217" s="18"/>
      <c r="X217" s="18"/>
      <c r="AE217" s="2"/>
      <c r="AF217" s="2"/>
      <c r="AL217" s="2"/>
    </row>
    <row r="218" spans="3:38" ht="14.25" customHeight="1">
      <c r="C218" s="18"/>
      <c r="X218" s="18"/>
      <c r="AE218" s="2"/>
      <c r="AF218" s="2"/>
      <c r="AL218" s="2"/>
    </row>
    <row r="219" spans="3:38" ht="14.25" customHeight="1">
      <c r="C219" s="18"/>
      <c r="X219" s="18"/>
      <c r="AE219" s="2"/>
      <c r="AF219" s="2"/>
      <c r="AL219" s="2"/>
    </row>
    <row r="220" spans="3:38" ht="14.25" customHeight="1">
      <c r="C220" s="18"/>
      <c r="X220" s="18"/>
      <c r="AE220" s="2"/>
      <c r="AF220" s="2"/>
      <c r="AL220" s="2"/>
    </row>
    <row r="221" spans="3:38" ht="14.25" customHeight="1">
      <c r="C221" s="18"/>
      <c r="X221" s="18"/>
      <c r="AE221" s="2"/>
      <c r="AF221" s="2"/>
      <c r="AL221" s="2"/>
    </row>
    <row r="222" spans="3:38" ht="14.25" customHeight="1">
      <c r="C222" s="18"/>
      <c r="X222" s="18"/>
      <c r="AE222" s="2"/>
      <c r="AF222" s="2"/>
      <c r="AL222" s="2"/>
    </row>
    <row r="223" spans="3:38" ht="14.25" customHeight="1">
      <c r="C223" s="18"/>
      <c r="X223" s="18"/>
      <c r="AE223" s="2"/>
      <c r="AF223" s="2"/>
      <c r="AL223" s="2"/>
    </row>
    <row r="224" spans="3:38" ht="14.25" customHeight="1">
      <c r="C224" s="18"/>
      <c r="X224" s="18"/>
      <c r="AE224" s="2"/>
      <c r="AF224" s="2"/>
      <c r="AL224" s="2"/>
    </row>
    <row r="225" spans="3:38" ht="14.25" customHeight="1">
      <c r="C225" s="18"/>
      <c r="X225" s="18"/>
      <c r="AE225" s="2"/>
      <c r="AF225" s="2"/>
      <c r="AL225" s="2"/>
    </row>
    <row r="226" spans="3:38" ht="14.25" customHeight="1">
      <c r="C226" s="18"/>
      <c r="X226" s="18"/>
      <c r="AE226" s="2"/>
      <c r="AF226" s="2"/>
      <c r="AL226" s="2"/>
    </row>
    <row r="227" spans="3:38" ht="14.25" customHeight="1">
      <c r="C227" s="18"/>
      <c r="X227" s="18"/>
      <c r="AE227" s="2"/>
      <c r="AF227" s="2"/>
      <c r="AL227" s="2"/>
    </row>
    <row r="228" spans="3:38" ht="14.25" customHeight="1">
      <c r="C228" s="18"/>
      <c r="X228" s="18"/>
      <c r="AE228" s="2"/>
      <c r="AF228" s="2"/>
      <c r="AL228" s="2"/>
    </row>
    <row r="229" spans="3:38" ht="14.25" customHeight="1">
      <c r="C229" s="18"/>
      <c r="X229" s="18"/>
      <c r="AE229" s="2"/>
      <c r="AF229" s="2"/>
      <c r="AL229" s="2"/>
    </row>
    <row r="230" spans="3:38" ht="14.25" customHeight="1">
      <c r="C230" s="18"/>
      <c r="X230" s="18"/>
      <c r="AE230" s="2"/>
      <c r="AF230" s="2"/>
      <c r="AL230" s="2"/>
    </row>
    <row r="231" spans="3:38" ht="14.25" customHeight="1">
      <c r="C231" s="18"/>
      <c r="X231" s="18"/>
      <c r="AE231" s="2"/>
      <c r="AF231" s="2"/>
      <c r="AL231" s="2"/>
    </row>
    <row r="232" spans="3:38" ht="14.25" customHeight="1">
      <c r="C232" s="18"/>
      <c r="X232" s="18"/>
      <c r="AE232" s="2"/>
      <c r="AF232" s="2"/>
      <c r="AL232" s="2"/>
    </row>
    <row r="233" spans="3:38" ht="14.25" customHeight="1">
      <c r="C233" s="18"/>
      <c r="X233" s="18"/>
      <c r="AE233" s="2"/>
      <c r="AF233" s="2"/>
      <c r="AL233" s="2"/>
    </row>
    <row r="234" spans="3:38" ht="14.25" customHeight="1">
      <c r="C234" s="18"/>
      <c r="X234" s="18"/>
      <c r="AE234" s="2"/>
      <c r="AF234" s="2"/>
      <c r="AL234" s="2"/>
    </row>
    <row r="235" spans="3:38" ht="14.25" customHeight="1">
      <c r="C235" s="18"/>
      <c r="X235" s="18"/>
      <c r="AE235" s="2"/>
      <c r="AF235" s="2"/>
      <c r="AL235" s="2"/>
    </row>
    <row r="236" spans="3:38" ht="14.25" customHeight="1">
      <c r="C236" s="18"/>
      <c r="X236" s="18"/>
      <c r="AE236" s="2"/>
      <c r="AF236" s="2"/>
      <c r="AL236" s="2"/>
    </row>
    <row r="237" spans="3:38" ht="14.25" customHeight="1">
      <c r="C237" s="18"/>
      <c r="X237" s="18"/>
      <c r="AE237" s="2"/>
      <c r="AF237" s="2"/>
      <c r="AL237" s="2"/>
    </row>
    <row r="238" spans="3:38" ht="14.25" customHeight="1">
      <c r="C238" s="18"/>
      <c r="X238" s="18"/>
      <c r="AE238" s="2"/>
      <c r="AF238" s="2"/>
      <c r="AL238" s="2"/>
    </row>
    <row r="239" spans="3:38" ht="14.25" customHeight="1">
      <c r="C239" s="18"/>
      <c r="X239" s="18"/>
      <c r="AE239" s="2"/>
      <c r="AF239" s="2"/>
      <c r="AL239" s="2"/>
    </row>
    <row r="240" spans="3:38" ht="14.25" customHeight="1">
      <c r="C240" s="18"/>
      <c r="X240" s="18"/>
      <c r="AE240" s="2"/>
      <c r="AF240" s="2"/>
      <c r="AL240" s="2"/>
    </row>
    <row r="241" spans="3:38" ht="14.25" customHeight="1">
      <c r="C241" s="18"/>
      <c r="X241" s="18"/>
      <c r="AE241" s="2"/>
      <c r="AF241" s="2"/>
      <c r="AL241" s="2"/>
    </row>
    <row r="242" spans="3:38" ht="14.25" customHeight="1">
      <c r="C242" s="18"/>
      <c r="X242" s="18"/>
      <c r="AE242" s="2"/>
      <c r="AF242" s="2"/>
      <c r="AL242" s="2"/>
    </row>
    <row r="243" spans="3:38" ht="14.25" customHeight="1">
      <c r="C243" s="18"/>
      <c r="X243" s="18"/>
      <c r="AE243" s="2"/>
      <c r="AF243" s="2"/>
      <c r="AL243" s="2"/>
    </row>
    <row r="244" spans="3:38" ht="14.25" customHeight="1">
      <c r="C244" s="18"/>
      <c r="X244" s="18"/>
      <c r="AE244" s="2"/>
      <c r="AF244" s="2"/>
      <c r="AL244" s="2"/>
    </row>
    <row r="245" spans="3:38" ht="14.25" customHeight="1">
      <c r="C245" s="18"/>
      <c r="X245" s="18"/>
      <c r="AE245" s="2"/>
      <c r="AF245" s="2"/>
      <c r="AL245" s="2"/>
    </row>
    <row r="246" spans="3:38" ht="14.25" customHeight="1">
      <c r="C246" s="18"/>
      <c r="X246" s="18"/>
      <c r="AE246" s="2"/>
      <c r="AF246" s="2"/>
      <c r="AL246" s="2"/>
    </row>
    <row r="247" spans="3:38" ht="14.25" customHeight="1">
      <c r="C247" s="18"/>
      <c r="X247" s="18"/>
      <c r="AE247" s="2"/>
      <c r="AF247" s="2"/>
      <c r="AL247" s="2"/>
    </row>
    <row r="248" spans="3:38" ht="14.25" customHeight="1">
      <c r="C248" s="18"/>
      <c r="X248" s="18"/>
      <c r="AE248" s="2"/>
      <c r="AF248" s="2"/>
      <c r="AL248" s="2"/>
    </row>
    <row r="249" spans="3:38" ht="14.25" customHeight="1">
      <c r="C249" s="18"/>
      <c r="X249" s="18"/>
      <c r="AE249" s="2"/>
      <c r="AF249" s="2"/>
      <c r="AL249" s="2"/>
    </row>
    <row r="250" spans="3:38" ht="14.25" customHeight="1">
      <c r="C250" s="18"/>
      <c r="X250" s="18"/>
      <c r="AE250" s="2"/>
      <c r="AF250" s="2"/>
      <c r="AL250" s="2"/>
    </row>
    <row r="251" spans="3:38" ht="14.25" customHeight="1">
      <c r="C251" s="18"/>
      <c r="X251" s="18"/>
      <c r="AE251" s="2"/>
      <c r="AF251" s="2"/>
      <c r="AL251" s="2"/>
    </row>
    <row r="252" spans="3:38" ht="14.25" customHeight="1">
      <c r="C252" s="18"/>
      <c r="X252" s="18"/>
      <c r="AE252" s="2"/>
      <c r="AF252" s="2"/>
      <c r="AL252" s="2"/>
    </row>
    <row r="253" spans="3:38" ht="14.25" customHeight="1">
      <c r="C253" s="18"/>
      <c r="X253" s="18"/>
      <c r="AE253" s="2"/>
      <c r="AF253" s="2"/>
      <c r="AL253" s="2"/>
    </row>
    <row r="254" spans="3:38" ht="14.25" customHeight="1">
      <c r="C254" s="18"/>
      <c r="X254" s="18"/>
      <c r="AE254" s="2"/>
      <c r="AF254" s="2"/>
      <c r="AL254" s="2"/>
    </row>
    <row r="255" spans="3:38" ht="14.25" customHeight="1">
      <c r="C255" s="18"/>
      <c r="X255" s="18"/>
      <c r="AE255" s="2"/>
      <c r="AF255" s="2"/>
      <c r="AL255" s="2"/>
    </row>
    <row r="256" spans="3:38" ht="14.25" customHeight="1">
      <c r="C256" s="18"/>
      <c r="X256" s="18"/>
      <c r="AE256" s="2"/>
      <c r="AF256" s="2"/>
      <c r="AL256" s="2"/>
    </row>
    <row r="257" spans="3:38" ht="14.25" customHeight="1">
      <c r="C257" s="18"/>
      <c r="X257" s="18"/>
      <c r="AE257" s="2"/>
      <c r="AF257" s="2"/>
      <c r="AL257" s="2"/>
    </row>
    <row r="258" spans="3:38" ht="14.25" customHeight="1">
      <c r="C258" s="18"/>
      <c r="X258" s="18"/>
      <c r="AE258" s="2"/>
      <c r="AF258" s="2"/>
      <c r="AL258" s="2"/>
    </row>
    <row r="259" spans="3:38" ht="14.25" customHeight="1">
      <c r="C259" s="18"/>
      <c r="X259" s="18"/>
      <c r="AE259" s="2"/>
      <c r="AF259" s="2"/>
      <c r="AL259" s="2"/>
    </row>
    <row r="260" spans="3:38" ht="14.25" customHeight="1">
      <c r="C260" s="18"/>
      <c r="X260" s="18"/>
      <c r="AE260" s="2"/>
      <c r="AF260" s="2"/>
      <c r="AL260" s="2"/>
    </row>
    <row r="261" spans="3:38" ht="14.25" customHeight="1">
      <c r="C261" s="18"/>
      <c r="X261" s="18"/>
      <c r="AE261" s="2"/>
      <c r="AF261" s="2"/>
      <c r="AL261" s="2"/>
    </row>
    <row r="262" spans="3:38" ht="14.25" customHeight="1">
      <c r="C262" s="18"/>
      <c r="X262" s="18"/>
      <c r="AE262" s="2"/>
      <c r="AF262" s="2"/>
      <c r="AL262" s="2"/>
    </row>
    <row r="263" spans="3:38" ht="14.25" customHeight="1">
      <c r="C263" s="18"/>
      <c r="X263" s="18"/>
      <c r="AE263" s="2"/>
      <c r="AF263" s="2"/>
      <c r="AL263" s="2"/>
    </row>
    <row r="264" spans="3:38" ht="14.25" customHeight="1">
      <c r="C264" s="18"/>
      <c r="X264" s="18"/>
      <c r="AE264" s="2"/>
      <c r="AF264" s="2"/>
      <c r="AL264" s="2"/>
    </row>
    <row r="265" spans="3:38" ht="14.25" customHeight="1">
      <c r="C265" s="18"/>
      <c r="X265" s="18"/>
      <c r="AE265" s="2"/>
      <c r="AF265" s="2"/>
      <c r="AL265" s="2"/>
    </row>
    <row r="266" spans="3:38" ht="14.25" customHeight="1">
      <c r="C266" s="18"/>
      <c r="X266" s="18"/>
      <c r="AE266" s="2"/>
      <c r="AF266" s="2"/>
      <c r="AL266" s="2"/>
    </row>
    <row r="267" spans="3:38" ht="14.25" customHeight="1">
      <c r="C267" s="18"/>
      <c r="X267" s="18"/>
      <c r="AE267" s="2"/>
      <c r="AF267" s="2"/>
      <c r="AL267" s="2"/>
    </row>
    <row r="268" spans="3:38" ht="14.25" customHeight="1">
      <c r="C268" s="18"/>
      <c r="X268" s="18"/>
      <c r="AE268" s="2"/>
      <c r="AF268" s="2"/>
      <c r="AL268" s="2"/>
    </row>
    <row r="269" spans="3:38" ht="14.25" customHeight="1">
      <c r="C269" s="18"/>
      <c r="X269" s="18"/>
      <c r="AE269" s="2"/>
      <c r="AF269" s="2"/>
      <c r="AL269" s="2"/>
    </row>
    <row r="270" spans="3:38" ht="14.25" customHeight="1">
      <c r="C270" s="18"/>
      <c r="X270" s="18"/>
      <c r="AE270" s="2"/>
      <c r="AF270" s="2"/>
      <c r="AL270" s="2"/>
    </row>
    <row r="271" spans="3:38" ht="14.25" customHeight="1">
      <c r="C271" s="18"/>
      <c r="X271" s="18"/>
      <c r="AE271" s="2"/>
      <c r="AF271" s="2"/>
      <c r="AL271" s="2"/>
    </row>
    <row r="272" spans="3:38" ht="14.25" customHeight="1">
      <c r="C272" s="18"/>
      <c r="X272" s="18"/>
      <c r="AE272" s="2"/>
      <c r="AF272" s="2"/>
      <c r="AL272" s="2"/>
    </row>
    <row r="273" spans="3:38" ht="14.25" customHeight="1">
      <c r="C273" s="18"/>
      <c r="X273" s="18"/>
      <c r="AE273" s="2"/>
      <c r="AF273" s="2"/>
      <c r="AL273" s="2"/>
    </row>
    <row r="274" spans="3:38" ht="15.75" customHeight="1"/>
    <row r="275" spans="3:38" ht="15.75" customHeight="1"/>
    <row r="276" spans="3:38" ht="15.75" customHeight="1"/>
    <row r="277" spans="3:38" ht="15.75" customHeight="1"/>
    <row r="278" spans="3:38" ht="15.75" customHeight="1"/>
    <row r="279" spans="3:38" ht="15.75" customHeight="1"/>
    <row r="280" spans="3:38" ht="15.75" customHeight="1"/>
    <row r="281" spans="3:38" ht="15.75" customHeight="1"/>
    <row r="282" spans="3:38" ht="15.75" customHeight="1"/>
    <row r="283" spans="3:38" ht="15.75" customHeight="1"/>
    <row r="284" spans="3:38" ht="15.75" customHeight="1"/>
    <row r="285" spans="3:38" ht="15.75" customHeight="1"/>
    <row r="286" spans="3:38" ht="15.75" customHeight="1"/>
    <row r="287" spans="3:38" ht="15.75" customHeight="1"/>
    <row r="288" spans="3:3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autoFilter ref="A4:AL58" xr:uid="{00000000-0009-0000-0000-000002000000}"/>
  <pageMargins left="0.7" right="0.7" top="0.75" bottom="0.75" header="0" footer="0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workbookViewId="0">
      <selection sqref="A1:S1"/>
    </sheetView>
  </sheetViews>
  <sheetFormatPr defaultColWidth="14.42578125" defaultRowHeight="15" customHeight="1"/>
  <cols>
    <col min="1" max="4" width="14.42578125" customWidth="1"/>
    <col min="5" max="5" width="21.5703125" customWidth="1"/>
    <col min="6" max="6" width="14.42578125" customWidth="1"/>
    <col min="13" max="13" width="19.42578125" customWidth="1"/>
    <col min="19" max="19" width="17.7109375" customWidth="1"/>
  </cols>
  <sheetData>
    <row r="1" spans="1:26">
      <c r="A1" s="178" t="s">
        <v>692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80"/>
      <c r="T1" s="55"/>
      <c r="U1" s="56"/>
      <c r="V1" s="56"/>
      <c r="W1" s="56"/>
      <c r="X1" s="56"/>
      <c r="Y1" s="56"/>
      <c r="Z1" s="56"/>
    </row>
    <row r="2" spans="1:26" ht="25.5">
      <c r="A2" s="57" t="s">
        <v>693</v>
      </c>
      <c r="B2" s="58" t="s">
        <v>694</v>
      </c>
      <c r="C2" s="58" t="s">
        <v>695</v>
      </c>
      <c r="D2" s="58" t="s">
        <v>696</v>
      </c>
      <c r="E2" s="58" t="s">
        <v>4</v>
      </c>
      <c r="F2" s="58" t="s">
        <v>697</v>
      </c>
      <c r="G2" s="58" t="s">
        <v>698</v>
      </c>
      <c r="H2" s="58" t="s">
        <v>699</v>
      </c>
      <c r="I2" s="58" t="s">
        <v>700</v>
      </c>
      <c r="J2" s="58" t="s">
        <v>701</v>
      </c>
      <c r="K2" s="59" t="s">
        <v>702</v>
      </c>
      <c r="L2" s="58" t="s">
        <v>703</v>
      </c>
      <c r="M2" s="58" t="s">
        <v>704</v>
      </c>
      <c r="N2" s="58" t="s">
        <v>705</v>
      </c>
      <c r="O2" s="58" t="s">
        <v>706</v>
      </c>
      <c r="P2" s="58" t="s">
        <v>707</v>
      </c>
      <c r="Q2" s="58" t="s">
        <v>708</v>
      </c>
      <c r="R2" s="59" t="s">
        <v>709</v>
      </c>
      <c r="S2" s="59" t="s">
        <v>710</v>
      </c>
      <c r="T2" s="59" t="s">
        <v>711</v>
      </c>
      <c r="U2" s="56"/>
      <c r="V2" s="56"/>
      <c r="W2" s="56"/>
      <c r="X2" s="56"/>
      <c r="Y2" s="56"/>
      <c r="Z2" s="56"/>
    </row>
    <row r="3" spans="1:26" ht="15.75">
      <c r="A3" s="60">
        <v>1</v>
      </c>
      <c r="B3" s="61" t="s">
        <v>72</v>
      </c>
      <c r="C3" s="62">
        <v>88</v>
      </c>
      <c r="D3" s="63" t="s">
        <v>71</v>
      </c>
      <c r="E3" s="64" t="s">
        <v>72</v>
      </c>
      <c r="F3" s="62">
        <v>31</v>
      </c>
      <c r="G3" s="65" t="s">
        <v>712</v>
      </c>
      <c r="H3" s="65" t="s">
        <v>712</v>
      </c>
      <c r="I3" s="65" t="s">
        <v>712</v>
      </c>
      <c r="J3" s="65" t="s">
        <v>712</v>
      </c>
      <c r="K3" s="65" t="s">
        <v>712</v>
      </c>
      <c r="L3" s="66"/>
      <c r="M3" s="66"/>
      <c r="N3" s="66"/>
      <c r="O3" s="66"/>
      <c r="P3" s="66"/>
      <c r="Q3" s="66"/>
      <c r="R3" s="67"/>
      <c r="S3" s="66"/>
      <c r="T3" s="68"/>
      <c r="U3" s="56"/>
      <c r="V3" s="56"/>
      <c r="W3" s="56"/>
      <c r="X3" s="56"/>
      <c r="Y3" s="56"/>
      <c r="Z3" s="56"/>
    </row>
    <row r="4" spans="1:26" ht="15.75">
      <c r="A4" s="60">
        <v>2</v>
      </c>
      <c r="B4" s="68" t="s">
        <v>713</v>
      </c>
      <c r="C4" s="62">
        <v>88</v>
      </c>
      <c r="D4" s="69" t="s">
        <v>226</v>
      </c>
      <c r="E4" s="70" t="s">
        <v>714</v>
      </c>
      <c r="F4" s="62">
        <v>31</v>
      </c>
      <c r="G4" s="65">
        <v>0</v>
      </c>
      <c r="H4" s="65">
        <v>1</v>
      </c>
      <c r="I4" s="65">
        <v>0</v>
      </c>
      <c r="J4" s="65">
        <v>0</v>
      </c>
      <c r="K4" s="71">
        <v>0</v>
      </c>
      <c r="L4" s="66"/>
      <c r="M4" s="66"/>
      <c r="N4" s="72">
        <v>0</v>
      </c>
      <c r="O4" s="72">
        <v>1</v>
      </c>
      <c r="P4" s="72">
        <v>0</v>
      </c>
      <c r="Q4" s="65">
        <v>0</v>
      </c>
      <c r="R4" s="71">
        <v>0</v>
      </c>
      <c r="S4" s="66"/>
      <c r="T4" s="66"/>
      <c r="U4" s="56"/>
      <c r="V4" s="56"/>
      <c r="W4" s="56"/>
      <c r="X4" s="56"/>
      <c r="Y4" s="56"/>
      <c r="Z4" s="56"/>
    </row>
    <row r="5" spans="1:26" ht="15.75">
      <c r="A5" s="60">
        <v>3</v>
      </c>
      <c r="B5" s="68" t="s">
        <v>396</v>
      </c>
      <c r="C5" s="62" t="s">
        <v>219</v>
      </c>
      <c r="D5" s="73" t="s">
        <v>715</v>
      </c>
      <c r="E5" s="70" t="s">
        <v>685</v>
      </c>
      <c r="F5" s="62">
        <v>31</v>
      </c>
      <c r="G5" s="72">
        <v>0</v>
      </c>
      <c r="H5" s="72">
        <v>0</v>
      </c>
      <c r="I5" s="72">
        <v>0</v>
      </c>
      <c r="J5" s="72">
        <v>0</v>
      </c>
      <c r="K5" s="71">
        <v>0</v>
      </c>
      <c r="L5" s="66"/>
      <c r="M5" s="66"/>
      <c r="N5" s="65">
        <v>0</v>
      </c>
      <c r="O5" s="65">
        <v>0</v>
      </c>
      <c r="P5" s="65">
        <v>0</v>
      </c>
      <c r="Q5" s="65">
        <v>0</v>
      </c>
      <c r="R5" s="71">
        <v>0</v>
      </c>
      <c r="S5" s="66"/>
      <c r="T5" s="68"/>
      <c r="U5" s="56"/>
      <c r="V5" s="56"/>
      <c r="W5" s="56"/>
      <c r="X5" s="56"/>
      <c r="Y5" s="56"/>
      <c r="Z5" s="56"/>
    </row>
    <row r="6" spans="1:26" ht="29.25">
      <c r="A6" s="60">
        <v>4</v>
      </c>
      <c r="B6" s="68" t="s">
        <v>716</v>
      </c>
      <c r="C6" s="62" t="s">
        <v>219</v>
      </c>
      <c r="D6" s="73" t="s">
        <v>717</v>
      </c>
      <c r="E6" s="70" t="s">
        <v>718</v>
      </c>
      <c r="F6" s="62">
        <v>31</v>
      </c>
      <c r="G6" s="72">
        <v>0</v>
      </c>
      <c r="H6" s="72">
        <v>2</v>
      </c>
      <c r="I6" s="65">
        <v>0</v>
      </c>
      <c r="J6" s="65">
        <v>1</v>
      </c>
      <c r="K6" s="71">
        <v>0</v>
      </c>
      <c r="L6" s="66"/>
      <c r="M6" s="74" t="s">
        <v>719</v>
      </c>
      <c r="N6" s="65">
        <v>0</v>
      </c>
      <c r="O6" s="65">
        <v>0</v>
      </c>
      <c r="P6" s="65">
        <v>0</v>
      </c>
      <c r="Q6" s="65">
        <v>0</v>
      </c>
      <c r="R6" s="71">
        <v>2</v>
      </c>
      <c r="S6" s="75">
        <v>1</v>
      </c>
      <c r="T6" s="68"/>
      <c r="U6" s="56"/>
      <c r="V6" s="56"/>
      <c r="W6" s="56"/>
      <c r="X6" s="56"/>
      <c r="Y6" s="56"/>
      <c r="Z6" s="56"/>
    </row>
    <row r="7" spans="1:26" ht="15.75">
      <c r="A7" s="60">
        <v>5</v>
      </c>
      <c r="B7" s="68" t="s">
        <v>690</v>
      </c>
      <c r="C7" s="62" t="s">
        <v>219</v>
      </c>
      <c r="D7" s="73" t="s">
        <v>720</v>
      </c>
      <c r="E7" s="70" t="s">
        <v>721</v>
      </c>
      <c r="F7" s="62">
        <v>31</v>
      </c>
      <c r="G7" s="72">
        <v>0</v>
      </c>
      <c r="H7" s="72">
        <v>15</v>
      </c>
      <c r="I7" s="72">
        <v>0</v>
      </c>
      <c r="J7" s="72">
        <v>0</v>
      </c>
      <c r="K7" s="71">
        <v>0</v>
      </c>
      <c r="L7" s="66"/>
      <c r="M7" s="66"/>
      <c r="N7" s="65">
        <v>0</v>
      </c>
      <c r="O7" s="72">
        <v>0</v>
      </c>
      <c r="P7" s="72">
        <v>1</v>
      </c>
      <c r="Q7" s="65">
        <v>1</v>
      </c>
      <c r="R7" s="71">
        <v>13</v>
      </c>
      <c r="S7" s="66"/>
      <c r="T7" s="68"/>
      <c r="U7" s="56"/>
      <c r="V7" s="56"/>
      <c r="W7" s="56"/>
      <c r="X7" s="56"/>
      <c r="Y7" s="56"/>
      <c r="Z7" s="56"/>
    </row>
    <row r="8" spans="1:26" ht="15.75">
      <c r="A8" s="60">
        <v>6</v>
      </c>
      <c r="B8" s="68" t="s">
        <v>215</v>
      </c>
      <c r="C8" s="62" t="s">
        <v>219</v>
      </c>
      <c r="D8" s="76" t="s">
        <v>722</v>
      </c>
      <c r="E8" s="77" t="s">
        <v>723</v>
      </c>
      <c r="F8" s="62">
        <v>31</v>
      </c>
      <c r="G8" s="65" t="s">
        <v>712</v>
      </c>
      <c r="H8" s="65" t="s">
        <v>712</v>
      </c>
      <c r="I8" s="65" t="s">
        <v>712</v>
      </c>
      <c r="J8" s="65" t="s">
        <v>712</v>
      </c>
      <c r="K8" s="65" t="s">
        <v>712</v>
      </c>
      <c r="L8" s="66"/>
      <c r="M8" s="66"/>
      <c r="N8" s="65">
        <v>0</v>
      </c>
      <c r="O8" s="65">
        <v>0</v>
      </c>
      <c r="P8" s="65">
        <v>0</v>
      </c>
      <c r="Q8" s="65">
        <v>0</v>
      </c>
      <c r="R8" s="78">
        <v>0</v>
      </c>
      <c r="S8" s="66"/>
      <c r="T8" s="68"/>
      <c r="U8" s="56"/>
      <c r="V8" s="56"/>
      <c r="W8" s="56"/>
      <c r="X8" s="56"/>
      <c r="Y8" s="56"/>
      <c r="Z8" s="56"/>
    </row>
    <row r="9" spans="1:26" ht="15.75">
      <c r="A9" s="60">
        <v>7</v>
      </c>
      <c r="B9" s="68" t="s">
        <v>713</v>
      </c>
      <c r="C9" s="62" t="s">
        <v>219</v>
      </c>
      <c r="D9" s="73" t="s">
        <v>724</v>
      </c>
      <c r="E9" s="70" t="s">
        <v>689</v>
      </c>
      <c r="F9" s="62">
        <v>31</v>
      </c>
      <c r="G9" s="72">
        <v>0</v>
      </c>
      <c r="H9" s="72">
        <v>1</v>
      </c>
      <c r="I9" s="72">
        <v>2</v>
      </c>
      <c r="J9" s="72">
        <v>0</v>
      </c>
      <c r="K9" s="71">
        <v>0</v>
      </c>
      <c r="L9" s="66"/>
      <c r="M9" s="66"/>
      <c r="N9" s="65">
        <v>0</v>
      </c>
      <c r="O9" s="72">
        <v>0</v>
      </c>
      <c r="P9" s="72">
        <v>1</v>
      </c>
      <c r="Q9" s="65">
        <v>0</v>
      </c>
      <c r="R9" s="71">
        <v>0</v>
      </c>
      <c r="S9" s="66"/>
      <c r="T9" s="68"/>
      <c r="U9" s="56"/>
      <c r="V9" s="56"/>
      <c r="W9" s="56"/>
      <c r="X9" s="56"/>
      <c r="Y9" s="56"/>
      <c r="Z9" s="56"/>
    </row>
    <row r="10" spans="1:26" ht="15.75">
      <c r="A10" s="60">
        <v>8</v>
      </c>
      <c r="B10" s="68" t="s">
        <v>215</v>
      </c>
      <c r="C10" s="62" t="s">
        <v>219</v>
      </c>
      <c r="D10" s="73" t="s">
        <v>725</v>
      </c>
      <c r="E10" s="70" t="s">
        <v>726</v>
      </c>
      <c r="F10" s="62">
        <v>31</v>
      </c>
      <c r="G10" s="72">
        <v>2</v>
      </c>
      <c r="H10" s="72">
        <v>6</v>
      </c>
      <c r="I10" s="72">
        <v>0</v>
      </c>
      <c r="J10" s="72">
        <v>0</v>
      </c>
      <c r="K10" s="71">
        <v>0</v>
      </c>
      <c r="L10" s="66"/>
      <c r="M10" s="66"/>
      <c r="N10" s="65">
        <v>0.5</v>
      </c>
      <c r="O10" s="72">
        <v>0.5</v>
      </c>
      <c r="P10" s="79">
        <v>2</v>
      </c>
      <c r="Q10" s="65">
        <v>1</v>
      </c>
      <c r="R10" s="80">
        <v>3</v>
      </c>
      <c r="S10" s="66"/>
      <c r="T10" s="68"/>
      <c r="U10" s="56"/>
      <c r="V10" s="56"/>
      <c r="W10" s="56"/>
      <c r="X10" s="56"/>
      <c r="Y10" s="56"/>
      <c r="Z10" s="56"/>
    </row>
    <row r="11" spans="1:26" ht="15.75">
      <c r="A11" s="60">
        <v>9</v>
      </c>
      <c r="B11" s="68" t="s">
        <v>396</v>
      </c>
      <c r="C11" s="62" t="s">
        <v>219</v>
      </c>
      <c r="D11" s="73" t="s">
        <v>727</v>
      </c>
      <c r="E11" s="70" t="s">
        <v>728</v>
      </c>
      <c r="F11" s="62">
        <v>31</v>
      </c>
      <c r="G11" s="72">
        <v>4</v>
      </c>
      <c r="H11" s="72">
        <v>0</v>
      </c>
      <c r="I11" s="72">
        <v>2</v>
      </c>
      <c r="J11" s="72">
        <v>0</v>
      </c>
      <c r="K11" s="71">
        <v>0</v>
      </c>
      <c r="L11" s="66"/>
      <c r="M11" s="74" t="s">
        <v>729</v>
      </c>
      <c r="N11" s="72">
        <v>0</v>
      </c>
      <c r="O11" s="65">
        <v>0</v>
      </c>
      <c r="P11" s="65">
        <v>0</v>
      </c>
      <c r="Q11" s="65">
        <v>0</v>
      </c>
      <c r="R11" s="71">
        <v>2</v>
      </c>
      <c r="S11" s="66"/>
      <c r="T11" s="68"/>
      <c r="U11" s="56"/>
      <c r="V11" s="56"/>
      <c r="W11" s="56"/>
      <c r="X11" s="56"/>
      <c r="Y11" s="56"/>
      <c r="Z11" s="56"/>
    </row>
    <row r="12" spans="1:26" ht="29.25">
      <c r="A12" s="60">
        <v>10</v>
      </c>
      <c r="B12" s="68" t="s">
        <v>730</v>
      </c>
      <c r="C12" s="62" t="s">
        <v>219</v>
      </c>
      <c r="D12" s="73" t="s">
        <v>731</v>
      </c>
      <c r="E12" s="70" t="s">
        <v>732</v>
      </c>
      <c r="F12" s="62">
        <v>31</v>
      </c>
      <c r="G12" s="72">
        <v>0</v>
      </c>
      <c r="H12" s="72">
        <v>1</v>
      </c>
      <c r="I12" s="72">
        <v>0</v>
      </c>
      <c r="J12" s="72">
        <v>0</v>
      </c>
      <c r="K12" s="71">
        <v>0</v>
      </c>
      <c r="L12" s="66"/>
      <c r="M12" s="66"/>
      <c r="N12" s="72">
        <v>1</v>
      </c>
      <c r="O12" s="65">
        <v>0</v>
      </c>
      <c r="P12" s="65">
        <v>0</v>
      </c>
      <c r="Q12" s="65">
        <v>0</v>
      </c>
      <c r="R12" s="71">
        <v>0</v>
      </c>
      <c r="S12" s="66"/>
      <c r="T12" s="68"/>
      <c r="U12" s="56"/>
      <c r="V12" s="56"/>
      <c r="W12" s="56"/>
      <c r="X12" s="56"/>
      <c r="Y12" s="56"/>
      <c r="Z12" s="56"/>
    </row>
    <row r="13" spans="1:26" ht="15.75">
      <c r="A13" s="60">
        <v>11</v>
      </c>
      <c r="B13" s="68" t="s">
        <v>713</v>
      </c>
      <c r="C13" s="62" t="s">
        <v>219</v>
      </c>
      <c r="D13" s="73" t="s">
        <v>733</v>
      </c>
      <c r="E13" s="70" t="s">
        <v>734</v>
      </c>
      <c r="F13" s="62">
        <v>31</v>
      </c>
      <c r="G13" s="72">
        <v>2</v>
      </c>
      <c r="H13" s="72">
        <v>3</v>
      </c>
      <c r="I13" s="72">
        <v>0</v>
      </c>
      <c r="J13" s="72">
        <v>0</v>
      </c>
      <c r="K13" s="71">
        <v>0</v>
      </c>
      <c r="L13" s="66"/>
      <c r="M13" s="74" t="s">
        <v>735</v>
      </c>
      <c r="N13" s="65">
        <v>1</v>
      </c>
      <c r="O13" s="72">
        <v>1</v>
      </c>
      <c r="P13" s="72">
        <v>1</v>
      </c>
      <c r="Q13" s="65">
        <v>0</v>
      </c>
      <c r="R13" s="71">
        <v>1</v>
      </c>
      <c r="S13" s="75">
        <v>1</v>
      </c>
      <c r="T13" s="68"/>
      <c r="U13" s="56"/>
      <c r="V13" s="56"/>
      <c r="W13" s="56"/>
      <c r="X13" s="56"/>
      <c r="Y13" s="56"/>
      <c r="Z13" s="56"/>
    </row>
    <row r="14" spans="1:26" ht="15.75">
      <c r="A14" s="60">
        <v>12</v>
      </c>
      <c r="B14" s="68" t="s">
        <v>215</v>
      </c>
      <c r="C14" s="62" t="s">
        <v>219</v>
      </c>
      <c r="D14" s="73" t="s">
        <v>736</v>
      </c>
      <c r="E14" s="70" t="s">
        <v>737</v>
      </c>
      <c r="F14" s="62">
        <v>31</v>
      </c>
      <c r="G14" s="72">
        <v>4</v>
      </c>
      <c r="H14" s="72">
        <v>3</v>
      </c>
      <c r="I14" s="72">
        <v>0</v>
      </c>
      <c r="J14" s="72">
        <v>0</v>
      </c>
      <c r="K14" s="71">
        <v>0</v>
      </c>
      <c r="L14" s="66"/>
      <c r="M14" s="74" t="s">
        <v>738</v>
      </c>
      <c r="N14" s="65">
        <v>0.5</v>
      </c>
      <c r="O14" s="72">
        <v>0</v>
      </c>
      <c r="P14" s="72">
        <v>1</v>
      </c>
      <c r="Q14" s="65">
        <v>1</v>
      </c>
      <c r="R14" s="71">
        <v>2.5</v>
      </c>
      <c r="S14" s="75">
        <v>1</v>
      </c>
      <c r="T14" s="68"/>
      <c r="U14" s="56"/>
      <c r="V14" s="56"/>
      <c r="W14" s="56"/>
      <c r="X14" s="56"/>
      <c r="Y14" s="56"/>
      <c r="Z14" s="56"/>
    </row>
    <row r="15" spans="1:26" ht="15.75">
      <c r="A15" s="60">
        <v>13</v>
      </c>
      <c r="B15" s="68" t="s">
        <v>713</v>
      </c>
      <c r="C15" s="62" t="s">
        <v>219</v>
      </c>
      <c r="D15" s="73" t="s">
        <v>739</v>
      </c>
      <c r="E15" s="70" t="s">
        <v>740</v>
      </c>
      <c r="F15" s="62">
        <v>31</v>
      </c>
      <c r="G15" s="72">
        <v>1</v>
      </c>
      <c r="H15" s="72">
        <v>0</v>
      </c>
      <c r="I15" s="72">
        <v>3</v>
      </c>
      <c r="J15" s="72">
        <v>0</v>
      </c>
      <c r="K15" s="71">
        <v>0</v>
      </c>
      <c r="L15" s="66"/>
      <c r="M15" s="66"/>
      <c r="N15" s="72">
        <v>0.5</v>
      </c>
      <c r="O15" s="65">
        <v>0</v>
      </c>
      <c r="P15" s="72">
        <v>0</v>
      </c>
      <c r="Q15" s="65">
        <v>0</v>
      </c>
      <c r="R15" s="71">
        <v>0</v>
      </c>
      <c r="S15" s="66"/>
      <c r="T15" s="68"/>
      <c r="U15" s="56"/>
      <c r="V15" s="56"/>
      <c r="W15" s="56"/>
      <c r="X15" s="56"/>
      <c r="Y15" s="56"/>
      <c r="Z15" s="56"/>
    </row>
    <row r="16" spans="1:26" ht="29.25">
      <c r="A16" s="60">
        <v>14</v>
      </c>
      <c r="B16" s="68" t="s">
        <v>730</v>
      </c>
      <c r="C16" s="62" t="s">
        <v>219</v>
      </c>
      <c r="D16" s="73" t="s">
        <v>741</v>
      </c>
      <c r="E16" s="70" t="s">
        <v>742</v>
      </c>
      <c r="F16" s="62">
        <v>31</v>
      </c>
      <c r="G16" s="81">
        <v>0</v>
      </c>
      <c r="H16" s="81">
        <v>2</v>
      </c>
      <c r="I16" s="81">
        <v>0</v>
      </c>
      <c r="J16" s="81">
        <v>0</v>
      </c>
      <c r="K16" s="71">
        <v>0</v>
      </c>
      <c r="L16" s="66"/>
      <c r="M16" s="66"/>
      <c r="N16" s="81">
        <v>1</v>
      </c>
      <c r="O16" s="81">
        <v>1</v>
      </c>
      <c r="P16" s="81">
        <v>0</v>
      </c>
      <c r="Q16" s="65">
        <v>0</v>
      </c>
      <c r="R16" s="71">
        <v>0</v>
      </c>
      <c r="S16" s="66"/>
      <c r="T16" s="68"/>
      <c r="U16" s="56"/>
      <c r="V16" s="56"/>
      <c r="W16" s="56"/>
      <c r="X16" s="56"/>
      <c r="Y16" s="56"/>
      <c r="Z16" s="56"/>
    </row>
    <row r="17" spans="1:26" ht="15.75">
      <c r="A17" s="60">
        <v>15</v>
      </c>
      <c r="B17" s="68" t="s">
        <v>743</v>
      </c>
      <c r="C17" s="62">
        <v>88</v>
      </c>
      <c r="D17" s="63" t="s">
        <v>84</v>
      </c>
      <c r="E17" s="77" t="s">
        <v>85</v>
      </c>
      <c r="F17" s="62">
        <v>31</v>
      </c>
      <c r="G17" s="65" t="s">
        <v>712</v>
      </c>
      <c r="H17" s="65" t="s">
        <v>712</v>
      </c>
      <c r="I17" s="65" t="s">
        <v>712</v>
      </c>
      <c r="J17" s="65" t="s">
        <v>712</v>
      </c>
      <c r="K17" s="65" t="s">
        <v>712</v>
      </c>
      <c r="L17" s="66"/>
      <c r="M17" s="66"/>
      <c r="N17" s="65">
        <v>0</v>
      </c>
      <c r="O17" s="65">
        <v>0</v>
      </c>
      <c r="P17" s="65">
        <v>1</v>
      </c>
      <c r="Q17" s="65">
        <v>0</v>
      </c>
      <c r="R17" s="78">
        <v>0</v>
      </c>
      <c r="S17" s="66"/>
      <c r="T17" s="68"/>
      <c r="U17" s="56"/>
      <c r="V17" s="56"/>
      <c r="W17" s="56"/>
      <c r="X17" s="56"/>
      <c r="Y17" s="56"/>
      <c r="Z17" s="56"/>
    </row>
    <row r="18" spans="1:26" ht="15.75">
      <c r="A18" s="60">
        <v>16</v>
      </c>
      <c r="B18" s="68" t="s">
        <v>743</v>
      </c>
      <c r="C18" s="62">
        <v>88</v>
      </c>
      <c r="D18" s="69" t="s">
        <v>97</v>
      </c>
      <c r="E18" s="70" t="s">
        <v>744</v>
      </c>
      <c r="F18" s="62">
        <v>31</v>
      </c>
      <c r="G18" s="72">
        <v>1</v>
      </c>
      <c r="H18" s="72">
        <v>5</v>
      </c>
      <c r="I18" s="72">
        <v>0</v>
      </c>
      <c r="J18" s="72">
        <v>0</v>
      </c>
      <c r="K18" s="71">
        <v>0</v>
      </c>
      <c r="L18" s="66"/>
      <c r="M18" s="66"/>
      <c r="N18" s="72">
        <v>0.5</v>
      </c>
      <c r="O18" s="72">
        <v>0</v>
      </c>
      <c r="P18" s="72">
        <v>5</v>
      </c>
      <c r="Q18" s="65">
        <v>0</v>
      </c>
      <c r="R18" s="71">
        <v>0</v>
      </c>
      <c r="S18" s="66"/>
      <c r="T18" s="68"/>
      <c r="U18" s="56"/>
      <c r="V18" s="56"/>
      <c r="W18" s="56"/>
      <c r="X18" s="56"/>
      <c r="Y18" s="56"/>
      <c r="Z18" s="56"/>
    </row>
    <row r="19" spans="1:26" ht="15.75">
      <c r="A19" s="60">
        <v>17</v>
      </c>
      <c r="B19" s="68" t="s">
        <v>72</v>
      </c>
      <c r="C19" s="62">
        <v>88</v>
      </c>
      <c r="D19" s="63" t="s">
        <v>131</v>
      </c>
      <c r="E19" s="64" t="s">
        <v>132</v>
      </c>
      <c r="F19" s="62">
        <v>31</v>
      </c>
      <c r="G19" s="65" t="s">
        <v>712</v>
      </c>
      <c r="H19" s="65" t="s">
        <v>712</v>
      </c>
      <c r="I19" s="65" t="s">
        <v>712</v>
      </c>
      <c r="J19" s="65" t="s">
        <v>712</v>
      </c>
      <c r="K19" s="65" t="s">
        <v>712</v>
      </c>
      <c r="L19" s="66"/>
      <c r="M19" s="66"/>
      <c r="N19" s="66"/>
      <c r="O19" s="66"/>
      <c r="P19" s="66"/>
      <c r="Q19" s="66"/>
      <c r="R19" s="67"/>
      <c r="S19" s="66"/>
      <c r="T19" s="68"/>
      <c r="U19" s="56"/>
      <c r="V19" s="56"/>
      <c r="W19" s="56"/>
      <c r="X19" s="56"/>
      <c r="Y19" s="56"/>
      <c r="Z19" s="56"/>
    </row>
    <row r="20" spans="1:26" ht="15.75">
      <c r="A20" s="60">
        <v>18</v>
      </c>
      <c r="B20" s="61" t="s">
        <v>72</v>
      </c>
      <c r="C20" s="62">
        <v>88</v>
      </c>
      <c r="D20" s="63" t="s">
        <v>144</v>
      </c>
      <c r="E20" s="64" t="s">
        <v>151</v>
      </c>
      <c r="F20" s="62">
        <v>31</v>
      </c>
      <c r="G20" s="65" t="s">
        <v>712</v>
      </c>
      <c r="H20" s="65" t="s">
        <v>712</v>
      </c>
      <c r="I20" s="65" t="s">
        <v>712</v>
      </c>
      <c r="J20" s="65" t="s">
        <v>712</v>
      </c>
      <c r="K20" s="65" t="s">
        <v>712</v>
      </c>
      <c r="L20" s="66"/>
      <c r="M20" s="66"/>
      <c r="N20" s="66"/>
      <c r="O20" s="66"/>
      <c r="P20" s="66"/>
      <c r="Q20" s="66"/>
      <c r="R20" s="67"/>
      <c r="S20" s="66"/>
      <c r="T20" s="68"/>
      <c r="U20" s="56"/>
      <c r="V20" s="56"/>
      <c r="W20" s="56"/>
      <c r="X20" s="56"/>
      <c r="Y20" s="56"/>
      <c r="Z20" s="56"/>
    </row>
    <row r="21" spans="1:26" ht="15.75" customHeight="1">
      <c r="A21" s="60">
        <v>19</v>
      </c>
      <c r="B21" s="82" t="s">
        <v>690</v>
      </c>
      <c r="C21" s="62">
        <v>88</v>
      </c>
      <c r="D21" s="69" t="s">
        <v>154</v>
      </c>
      <c r="E21" s="70" t="s">
        <v>691</v>
      </c>
      <c r="F21" s="62">
        <v>31</v>
      </c>
      <c r="G21" s="72">
        <v>1</v>
      </c>
      <c r="H21" s="72">
        <v>3</v>
      </c>
      <c r="I21" s="72">
        <v>0</v>
      </c>
      <c r="J21" s="72">
        <v>0</v>
      </c>
      <c r="K21" s="71">
        <v>0</v>
      </c>
      <c r="L21" s="66"/>
      <c r="M21" s="74" t="s">
        <v>745</v>
      </c>
      <c r="N21" s="65">
        <v>0.5</v>
      </c>
      <c r="O21" s="65">
        <v>0.5</v>
      </c>
      <c r="P21" s="65">
        <v>1</v>
      </c>
      <c r="Q21" s="65">
        <v>0</v>
      </c>
      <c r="R21" s="71">
        <v>1.5</v>
      </c>
      <c r="S21" s="66"/>
      <c r="T21" s="68"/>
      <c r="U21" s="56"/>
      <c r="V21" s="56"/>
      <c r="W21" s="56"/>
      <c r="X21" s="56"/>
      <c r="Y21" s="56"/>
      <c r="Z21" s="56"/>
    </row>
    <row r="22" spans="1:26" ht="15.75" customHeight="1">
      <c r="A22" s="60">
        <v>20</v>
      </c>
      <c r="B22" s="68" t="s">
        <v>743</v>
      </c>
      <c r="C22" s="62">
        <v>88</v>
      </c>
      <c r="D22" s="63" t="s">
        <v>165</v>
      </c>
      <c r="E22" s="77" t="s">
        <v>746</v>
      </c>
      <c r="F22" s="62">
        <v>31</v>
      </c>
      <c r="G22" s="65" t="s">
        <v>712</v>
      </c>
      <c r="H22" s="65" t="s">
        <v>712</v>
      </c>
      <c r="I22" s="65" t="s">
        <v>712</v>
      </c>
      <c r="J22" s="65" t="s">
        <v>712</v>
      </c>
      <c r="K22" s="65" t="s">
        <v>712</v>
      </c>
      <c r="L22" s="66"/>
      <c r="M22" s="66"/>
      <c r="N22" s="66"/>
      <c r="O22" s="66"/>
      <c r="P22" s="66"/>
      <c r="Q22" s="66"/>
      <c r="R22" s="67"/>
      <c r="S22" s="66"/>
      <c r="T22" s="68"/>
      <c r="U22" s="56"/>
      <c r="V22" s="56"/>
      <c r="W22" s="56"/>
      <c r="X22" s="56"/>
      <c r="Y22" s="56"/>
      <c r="Z22" s="56"/>
    </row>
    <row r="23" spans="1:26" ht="15.75" customHeight="1">
      <c r="A23" s="60">
        <v>21</v>
      </c>
      <c r="B23" s="68" t="s">
        <v>713</v>
      </c>
      <c r="C23" s="62">
        <v>88</v>
      </c>
      <c r="D23" s="69" t="s">
        <v>177</v>
      </c>
      <c r="E23" s="70" t="s">
        <v>747</v>
      </c>
      <c r="F23" s="62">
        <v>31</v>
      </c>
      <c r="G23" s="72">
        <v>0</v>
      </c>
      <c r="H23" s="72">
        <v>1</v>
      </c>
      <c r="I23" s="72">
        <v>1</v>
      </c>
      <c r="J23" s="72">
        <v>0</v>
      </c>
      <c r="K23" s="71">
        <v>0</v>
      </c>
      <c r="L23" s="66"/>
      <c r="M23" s="66"/>
      <c r="N23" s="72">
        <v>0</v>
      </c>
      <c r="O23" s="72">
        <v>1</v>
      </c>
      <c r="P23" s="72">
        <v>0</v>
      </c>
      <c r="Q23" s="65">
        <v>0</v>
      </c>
      <c r="R23" s="71">
        <v>0</v>
      </c>
      <c r="S23" s="66"/>
      <c r="T23" s="68"/>
      <c r="U23" s="56"/>
      <c r="V23" s="56"/>
      <c r="W23" s="56"/>
      <c r="X23" s="56"/>
      <c r="Y23" s="56"/>
      <c r="Z23" s="56"/>
    </row>
    <row r="24" spans="1:26" ht="15.75" customHeight="1">
      <c r="A24" s="60">
        <v>22</v>
      </c>
      <c r="B24" s="61" t="s">
        <v>72</v>
      </c>
      <c r="C24" s="62">
        <v>88</v>
      </c>
      <c r="D24" s="63" t="s">
        <v>189</v>
      </c>
      <c r="E24" s="64" t="s">
        <v>190</v>
      </c>
      <c r="F24" s="62">
        <v>31</v>
      </c>
      <c r="G24" s="65" t="s">
        <v>712</v>
      </c>
      <c r="H24" s="65" t="s">
        <v>712</v>
      </c>
      <c r="I24" s="65" t="s">
        <v>712</v>
      </c>
      <c r="J24" s="65" t="s">
        <v>712</v>
      </c>
      <c r="K24" s="65" t="s">
        <v>712</v>
      </c>
      <c r="L24" s="66"/>
      <c r="M24" s="66"/>
      <c r="N24" s="65">
        <v>0</v>
      </c>
      <c r="O24" s="65">
        <v>0</v>
      </c>
      <c r="P24" s="65">
        <v>1</v>
      </c>
      <c r="Q24" s="65">
        <v>1</v>
      </c>
      <c r="R24" s="78">
        <v>0</v>
      </c>
      <c r="S24" s="66"/>
      <c r="T24" s="68"/>
      <c r="U24" s="56"/>
      <c r="V24" s="56"/>
      <c r="W24" s="56"/>
      <c r="X24" s="56"/>
      <c r="Y24" s="56"/>
      <c r="Z24" s="56"/>
    </row>
    <row r="25" spans="1:26" ht="15.75" customHeight="1">
      <c r="A25" s="60">
        <v>23</v>
      </c>
      <c r="B25" s="68" t="s">
        <v>730</v>
      </c>
      <c r="C25" s="62">
        <v>88</v>
      </c>
      <c r="D25" s="69" t="s">
        <v>279</v>
      </c>
      <c r="E25" s="70" t="s">
        <v>730</v>
      </c>
      <c r="F25" s="62">
        <v>31</v>
      </c>
      <c r="G25" s="72">
        <v>0</v>
      </c>
      <c r="H25" s="72">
        <v>0</v>
      </c>
      <c r="I25" s="72">
        <v>0</v>
      </c>
      <c r="J25" s="72">
        <v>0</v>
      </c>
      <c r="K25" s="71">
        <v>0</v>
      </c>
      <c r="L25" s="66"/>
      <c r="M25" s="66"/>
      <c r="N25" s="65">
        <v>0</v>
      </c>
      <c r="O25" s="65">
        <v>0</v>
      </c>
      <c r="P25" s="65">
        <v>0</v>
      </c>
      <c r="Q25" s="65">
        <v>0</v>
      </c>
      <c r="R25" s="71">
        <v>0</v>
      </c>
      <c r="S25" s="66"/>
      <c r="T25" s="68"/>
      <c r="U25" s="56"/>
      <c r="V25" s="56"/>
      <c r="W25" s="56"/>
      <c r="X25" s="56"/>
      <c r="Y25" s="56"/>
      <c r="Z25" s="56"/>
    </row>
    <row r="26" spans="1:26" ht="15.75" customHeight="1">
      <c r="A26" s="60">
        <v>24</v>
      </c>
      <c r="B26" s="68" t="s">
        <v>215</v>
      </c>
      <c r="C26" s="62">
        <v>88</v>
      </c>
      <c r="D26" s="63" t="s">
        <v>214</v>
      </c>
      <c r="E26" s="77" t="s">
        <v>748</v>
      </c>
      <c r="F26" s="62">
        <v>31</v>
      </c>
      <c r="G26" s="65" t="s">
        <v>712</v>
      </c>
      <c r="H26" s="65" t="s">
        <v>712</v>
      </c>
      <c r="I26" s="65" t="s">
        <v>712</v>
      </c>
      <c r="J26" s="65" t="s">
        <v>712</v>
      </c>
      <c r="K26" s="65" t="s">
        <v>712</v>
      </c>
      <c r="L26" s="66"/>
      <c r="M26" s="66"/>
      <c r="N26" s="72">
        <v>1</v>
      </c>
      <c r="O26" s="72">
        <v>0</v>
      </c>
      <c r="P26" s="72">
        <v>0</v>
      </c>
      <c r="Q26" s="65">
        <v>0</v>
      </c>
      <c r="R26" s="78">
        <v>0</v>
      </c>
      <c r="S26" s="66"/>
      <c r="T26" s="68"/>
      <c r="U26" s="56"/>
      <c r="V26" s="56"/>
      <c r="W26" s="56"/>
      <c r="X26" s="56"/>
      <c r="Y26" s="56"/>
      <c r="Z26" s="56"/>
    </row>
    <row r="27" spans="1:26" ht="15.75" customHeight="1">
      <c r="A27" s="60">
        <v>25</v>
      </c>
      <c r="B27" s="68" t="s">
        <v>749</v>
      </c>
      <c r="C27" s="62">
        <v>88</v>
      </c>
      <c r="D27" s="69" t="s">
        <v>295</v>
      </c>
      <c r="E27" s="70" t="s">
        <v>750</v>
      </c>
      <c r="F27" s="62">
        <v>31</v>
      </c>
      <c r="G27" s="72">
        <v>2</v>
      </c>
      <c r="H27" s="72">
        <v>2</v>
      </c>
      <c r="I27" s="72">
        <v>3</v>
      </c>
      <c r="J27" s="72">
        <v>0</v>
      </c>
      <c r="K27" s="71">
        <v>0</v>
      </c>
      <c r="L27" s="66"/>
      <c r="M27" s="74" t="s">
        <v>729</v>
      </c>
      <c r="N27" s="72">
        <v>0.5</v>
      </c>
      <c r="O27" s="65">
        <v>0.5</v>
      </c>
      <c r="P27" s="72">
        <v>1</v>
      </c>
      <c r="Q27" s="65">
        <v>0</v>
      </c>
      <c r="R27" s="71">
        <v>1</v>
      </c>
      <c r="S27" s="66"/>
      <c r="T27" s="68"/>
      <c r="U27" s="56"/>
      <c r="V27" s="56"/>
      <c r="W27" s="56"/>
      <c r="X27" s="56"/>
      <c r="Y27" s="56"/>
      <c r="Z27" s="56"/>
    </row>
    <row r="28" spans="1:26" ht="15.75" customHeight="1">
      <c r="A28" s="60">
        <v>26</v>
      </c>
      <c r="B28" s="68" t="s">
        <v>749</v>
      </c>
      <c r="C28" s="62">
        <v>88</v>
      </c>
      <c r="D28" s="63" t="s">
        <v>751</v>
      </c>
      <c r="E28" s="77" t="s">
        <v>752</v>
      </c>
      <c r="F28" s="62">
        <v>31</v>
      </c>
      <c r="G28" s="65" t="s">
        <v>712</v>
      </c>
      <c r="H28" s="65" t="s">
        <v>712</v>
      </c>
      <c r="I28" s="65" t="s">
        <v>712</v>
      </c>
      <c r="J28" s="65" t="s">
        <v>712</v>
      </c>
      <c r="K28" s="65" t="s">
        <v>712</v>
      </c>
      <c r="L28" s="66"/>
      <c r="M28" s="66"/>
      <c r="N28" s="66"/>
      <c r="O28" s="66"/>
      <c r="P28" s="66"/>
      <c r="Q28" s="66"/>
      <c r="R28" s="67"/>
      <c r="S28" s="66"/>
      <c r="T28" s="68"/>
      <c r="U28" s="56"/>
      <c r="V28" s="56"/>
      <c r="W28" s="56"/>
      <c r="X28" s="56"/>
      <c r="Y28" s="56"/>
      <c r="Z28" s="56"/>
    </row>
    <row r="29" spans="1:26" ht="15.75" customHeight="1">
      <c r="A29" s="60">
        <v>27</v>
      </c>
      <c r="B29" s="68" t="s">
        <v>72</v>
      </c>
      <c r="C29" s="62">
        <v>88</v>
      </c>
      <c r="D29" s="63" t="s">
        <v>305</v>
      </c>
      <c r="E29" s="64" t="s">
        <v>306</v>
      </c>
      <c r="F29" s="62">
        <v>31</v>
      </c>
      <c r="G29" s="65" t="s">
        <v>712</v>
      </c>
      <c r="H29" s="65" t="s">
        <v>712</v>
      </c>
      <c r="I29" s="65" t="s">
        <v>712</v>
      </c>
      <c r="J29" s="65" t="s">
        <v>712</v>
      </c>
      <c r="K29" s="65" t="s">
        <v>712</v>
      </c>
      <c r="L29" s="66"/>
      <c r="M29" s="66"/>
      <c r="N29" s="66"/>
      <c r="O29" s="66"/>
      <c r="P29" s="66"/>
      <c r="Q29" s="66"/>
      <c r="R29" s="67"/>
      <c r="S29" s="66"/>
      <c r="T29" s="68"/>
      <c r="U29" s="56"/>
      <c r="V29" s="56"/>
      <c r="W29" s="56"/>
      <c r="X29" s="56"/>
      <c r="Y29" s="56"/>
      <c r="Z29" s="56"/>
    </row>
    <row r="30" spans="1:26" ht="15.75" customHeight="1">
      <c r="A30" s="60">
        <v>28</v>
      </c>
      <c r="B30" s="68" t="s">
        <v>716</v>
      </c>
      <c r="C30" s="62">
        <v>88</v>
      </c>
      <c r="D30" s="69" t="s">
        <v>317</v>
      </c>
      <c r="E30" s="70" t="s">
        <v>716</v>
      </c>
      <c r="F30" s="62">
        <v>31</v>
      </c>
      <c r="G30" s="72">
        <v>1</v>
      </c>
      <c r="H30" s="72">
        <v>5</v>
      </c>
      <c r="I30" s="72">
        <v>1</v>
      </c>
      <c r="J30" s="72">
        <v>0</v>
      </c>
      <c r="K30" s="71">
        <v>0</v>
      </c>
      <c r="L30" s="66"/>
      <c r="M30" s="74" t="s">
        <v>753</v>
      </c>
      <c r="N30" s="72">
        <v>0.5</v>
      </c>
      <c r="O30" s="72">
        <v>0</v>
      </c>
      <c r="P30" s="72">
        <v>1</v>
      </c>
      <c r="Q30" s="72">
        <v>0</v>
      </c>
      <c r="R30" s="71">
        <v>4</v>
      </c>
      <c r="S30" s="83" t="s">
        <v>754</v>
      </c>
      <c r="T30" s="68"/>
      <c r="U30" s="56"/>
      <c r="V30" s="56"/>
      <c r="W30" s="56"/>
      <c r="X30" s="56"/>
      <c r="Y30" s="56"/>
      <c r="Z30" s="56"/>
    </row>
    <row r="31" spans="1:26" ht="15.75" customHeight="1">
      <c r="A31" s="60">
        <v>29</v>
      </c>
      <c r="B31" s="84" t="s">
        <v>755</v>
      </c>
      <c r="C31" s="62">
        <v>88</v>
      </c>
      <c r="D31" s="69" t="s">
        <v>328</v>
      </c>
      <c r="E31" s="70" t="s">
        <v>755</v>
      </c>
      <c r="F31" s="62">
        <v>31</v>
      </c>
      <c r="G31" s="72">
        <v>2</v>
      </c>
      <c r="H31" s="72">
        <v>0</v>
      </c>
      <c r="I31" s="72">
        <v>0</v>
      </c>
      <c r="J31" s="72">
        <v>0</v>
      </c>
      <c r="K31" s="71">
        <v>0</v>
      </c>
      <c r="L31" s="66"/>
      <c r="M31" s="66"/>
      <c r="N31" s="72">
        <v>0.5</v>
      </c>
      <c r="O31" s="72">
        <v>0.5</v>
      </c>
      <c r="P31" s="65">
        <v>0</v>
      </c>
      <c r="Q31" s="65">
        <v>0</v>
      </c>
      <c r="R31" s="71">
        <v>0</v>
      </c>
      <c r="S31" s="66"/>
      <c r="T31" s="68"/>
      <c r="U31" s="56"/>
      <c r="V31" s="56"/>
      <c r="W31" s="56"/>
      <c r="X31" s="56"/>
      <c r="Y31" s="56"/>
      <c r="Z31" s="56"/>
    </row>
    <row r="32" spans="1:26" ht="15.75" customHeight="1">
      <c r="A32" s="60">
        <v>30</v>
      </c>
      <c r="B32" s="68" t="s">
        <v>396</v>
      </c>
      <c r="C32" s="62">
        <v>88</v>
      </c>
      <c r="D32" s="69" t="s">
        <v>339</v>
      </c>
      <c r="E32" s="70" t="s">
        <v>756</v>
      </c>
      <c r="F32" s="62">
        <v>31</v>
      </c>
      <c r="G32" s="72">
        <v>1</v>
      </c>
      <c r="H32" s="72">
        <v>2</v>
      </c>
      <c r="I32" s="72">
        <v>1</v>
      </c>
      <c r="J32" s="72">
        <v>1</v>
      </c>
      <c r="K32" s="71">
        <v>0</v>
      </c>
      <c r="L32" s="66"/>
      <c r="M32" s="66"/>
      <c r="N32" s="65">
        <v>0.5</v>
      </c>
      <c r="O32" s="65">
        <v>0.5</v>
      </c>
      <c r="P32" s="72">
        <v>2</v>
      </c>
      <c r="Q32" s="65">
        <v>0</v>
      </c>
      <c r="R32" s="71">
        <v>0</v>
      </c>
      <c r="S32" s="66"/>
      <c r="T32" s="68"/>
      <c r="U32" s="56"/>
      <c r="V32" s="56"/>
      <c r="W32" s="56"/>
      <c r="X32" s="56"/>
      <c r="Y32" s="56"/>
      <c r="Z32" s="56"/>
    </row>
    <row r="33" spans="1:26" ht="15.75" customHeight="1">
      <c r="A33" s="60">
        <v>31</v>
      </c>
      <c r="B33" s="68" t="s">
        <v>690</v>
      </c>
      <c r="C33" s="62">
        <v>88</v>
      </c>
      <c r="D33" s="69" t="s">
        <v>351</v>
      </c>
      <c r="E33" s="70" t="s">
        <v>757</v>
      </c>
      <c r="F33" s="62">
        <v>31</v>
      </c>
      <c r="G33" s="72">
        <v>0</v>
      </c>
      <c r="H33" s="72">
        <v>1</v>
      </c>
      <c r="I33" s="72">
        <v>0</v>
      </c>
      <c r="J33" s="72">
        <v>0</v>
      </c>
      <c r="K33" s="71">
        <v>0</v>
      </c>
      <c r="L33" s="66"/>
      <c r="M33" s="74" t="s">
        <v>758</v>
      </c>
      <c r="N33" s="72">
        <v>0</v>
      </c>
      <c r="O33" s="72">
        <v>0</v>
      </c>
      <c r="P33" s="65">
        <v>1</v>
      </c>
      <c r="Q33" s="65">
        <v>0</v>
      </c>
      <c r="R33" s="71">
        <v>0</v>
      </c>
      <c r="S33" s="75">
        <v>2</v>
      </c>
      <c r="T33" s="68"/>
      <c r="U33" s="56"/>
      <c r="V33" s="56"/>
      <c r="W33" s="56"/>
      <c r="X33" s="56"/>
      <c r="Y33" s="56"/>
      <c r="Z33" s="56"/>
    </row>
    <row r="34" spans="1:26" ht="15.75" customHeight="1">
      <c r="A34" s="60">
        <v>32</v>
      </c>
      <c r="B34" s="68" t="s">
        <v>215</v>
      </c>
      <c r="C34" s="62">
        <v>88</v>
      </c>
      <c r="D34" s="63" t="s">
        <v>361</v>
      </c>
      <c r="E34" s="77" t="s">
        <v>759</v>
      </c>
      <c r="F34" s="62">
        <v>31</v>
      </c>
      <c r="G34" s="65" t="s">
        <v>712</v>
      </c>
      <c r="H34" s="65" t="s">
        <v>712</v>
      </c>
      <c r="I34" s="65" t="s">
        <v>712</v>
      </c>
      <c r="J34" s="65" t="s">
        <v>712</v>
      </c>
      <c r="K34" s="65" t="s">
        <v>712</v>
      </c>
      <c r="L34" s="66"/>
      <c r="M34" s="66"/>
      <c r="N34" s="81">
        <v>0</v>
      </c>
      <c r="O34" s="81">
        <v>0.5</v>
      </c>
      <c r="P34" s="81">
        <v>0</v>
      </c>
      <c r="Q34" s="81">
        <v>0</v>
      </c>
      <c r="R34" s="78">
        <v>0</v>
      </c>
      <c r="S34" s="66"/>
      <c r="T34" s="68"/>
      <c r="U34" s="56"/>
      <c r="V34" s="56"/>
      <c r="W34" s="56"/>
      <c r="X34" s="56"/>
      <c r="Y34" s="56"/>
      <c r="Z34" s="56"/>
    </row>
    <row r="35" spans="1:26" ht="15.75" customHeight="1">
      <c r="A35" s="60">
        <v>33</v>
      </c>
      <c r="B35" s="68" t="s">
        <v>396</v>
      </c>
      <c r="C35" s="62">
        <v>88</v>
      </c>
      <c r="D35" s="69" t="s">
        <v>371</v>
      </c>
      <c r="E35" s="70" t="s">
        <v>760</v>
      </c>
      <c r="F35" s="62">
        <v>31</v>
      </c>
      <c r="G35" s="72">
        <v>0</v>
      </c>
      <c r="H35" s="72">
        <v>1</v>
      </c>
      <c r="I35" s="72">
        <v>0</v>
      </c>
      <c r="J35" s="72">
        <v>0</v>
      </c>
      <c r="K35" s="71">
        <v>0</v>
      </c>
      <c r="L35" s="66"/>
      <c r="M35" s="74" t="s">
        <v>761</v>
      </c>
      <c r="N35" s="72">
        <v>0.5</v>
      </c>
      <c r="O35" s="72">
        <v>0.5</v>
      </c>
      <c r="P35" s="72">
        <v>0</v>
      </c>
      <c r="Q35" s="65">
        <v>0</v>
      </c>
      <c r="R35" s="71">
        <v>0</v>
      </c>
      <c r="S35" s="66"/>
      <c r="T35" s="68"/>
      <c r="U35" s="56"/>
      <c r="V35" s="56"/>
      <c r="W35" s="56"/>
      <c r="X35" s="56"/>
      <c r="Y35" s="56"/>
      <c r="Z35" s="56"/>
    </row>
    <row r="36" spans="1:26" ht="15.75" customHeight="1">
      <c r="A36" s="60">
        <v>34</v>
      </c>
      <c r="B36" s="68" t="s">
        <v>762</v>
      </c>
      <c r="C36" s="62">
        <v>88</v>
      </c>
      <c r="D36" s="69" t="s">
        <v>383</v>
      </c>
      <c r="E36" s="70" t="s">
        <v>762</v>
      </c>
      <c r="F36" s="62">
        <v>31</v>
      </c>
      <c r="G36" s="72">
        <v>0</v>
      </c>
      <c r="H36" s="72">
        <v>7</v>
      </c>
      <c r="I36" s="72">
        <v>2</v>
      </c>
      <c r="J36" s="72">
        <v>0</v>
      </c>
      <c r="K36" s="71">
        <v>0</v>
      </c>
      <c r="L36" s="66"/>
      <c r="M36" s="74" t="s">
        <v>763</v>
      </c>
      <c r="N36" s="72">
        <v>0.5</v>
      </c>
      <c r="O36" s="72">
        <v>0.5</v>
      </c>
      <c r="P36" s="72">
        <v>3</v>
      </c>
      <c r="Q36" s="65">
        <v>1</v>
      </c>
      <c r="R36" s="71">
        <v>2</v>
      </c>
      <c r="S36" s="66"/>
      <c r="T36" s="68"/>
      <c r="U36" s="56"/>
      <c r="V36" s="56"/>
      <c r="W36" s="56"/>
      <c r="X36" s="56"/>
      <c r="Y36" s="56"/>
      <c r="Z36" s="56"/>
    </row>
    <row r="37" spans="1:26" ht="15.75" customHeight="1">
      <c r="A37" s="60">
        <v>35</v>
      </c>
      <c r="B37" s="68" t="s">
        <v>396</v>
      </c>
      <c r="C37" s="62">
        <v>88</v>
      </c>
      <c r="D37" s="69" t="s">
        <v>395</v>
      </c>
      <c r="E37" s="70" t="s">
        <v>764</v>
      </c>
      <c r="F37" s="62">
        <v>31</v>
      </c>
      <c r="G37" s="72">
        <v>0</v>
      </c>
      <c r="H37" s="72">
        <v>1</v>
      </c>
      <c r="I37" s="72">
        <v>0</v>
      </c>
      <c r="J37" s="72">
        <v>0</v>
      </c>
      <c r="K37" s="71">
        <v>0</v>
      </c>
      <c r="L37" s="66"/>
      <c r="M37" s="74" t="s">
        <v>763</v>
      </c>
      <c r="N37" s="65">
        <v>0</v>
      </c>
      <c r="O37" s="65">
        <v>0</v>
      </c>
      <c r="P37" s="65">
        <v>0</v>
      </c>
      <c r="Q37" s="65">
        <v>1</v>
      </c>
      <c r="R37" s="71">
        <v>0</v>
      </c>
      <c r="S37" s="75">
        <v>2</v>
      </c>
      <c r="T37" s="68"/>
      <c r="U37" s="56"/>
      <c r="V37" s="56"/>
      <c r="W37" s="56"/>
      <c r="X37" s="56"/>
      <c r="Y37" s="56"/>
      <c r="Z37" s="56"/>
    </row>
    <row r="38" spans="1:26" ht="15.75" customHeight="1">
      <c r="A38" s="60">
        <v>36</v>
      </c>
      <c r="B38" s="68" t="s">
        <v>396</v>
      </c>
      <c r="C38" s="62">
        <v>88</v>
      </c>
      <c r="D38" s="69" t="s">
        <v>405</v>
      </c>
      <c r="E38" s="70" t="s">
        <v>765</v>
      </c>
      <c r="F38" s="62">
        <v>31</v>
      </c>
      <c r="G38" s="72">
        <v>0</v>
      </c>
      <c r="H38" s="72">
        <v>2</v>
      </c>
      <c r="I38" s="72">
        <v>0</v>
      </c>
      <c r="J38" s="72">
        <v>0</v>
      </c>
      <c r="K38" s="71">
        <v>0</v>
      </c>
      <c r="L38" s="66"/>
      <c r="M38" s="74" t="s">
        <v>766</v>
      </c>
      <c r="N38" s="65">
        <v>0</v>
      </c>
      <c r="O38" s="72">
        <v>1</v>
      </c>
      <c r="P38" s="65">
        <v>0</v>
      </c>
      <c r="Q38" s="65">
        <v>1</v>
      </c>
      <c r="R38" s="71">
        <v>0</v>
      </c>
      <c r="S38" s="66"/>
      <c r="T38" s="68"/>
      <c r="U38" s="56"/>
      <c r="V38" s="56"/>
      <c r="W38" s="56"/>
      <c r="X38" s="56"/>
      <c r="Y38" s="56"/>
      <c r="Z38" s="56"/>
    </row>
    <row r="39" spans="1:26" ht="15.75" customHeight="1">
      <c r="A39" s="60">
        <v>37</v>
      </c>
      <c r="B39" s="82" t="s">
        <v>767</v>
      </c>
      <c r="C39" s="62">
        <v>88</v>
      </c>
      <c r="D39" s="63" t="s">
        <v>417</v>
      </c>
      <c r="E39" s="77" t="s">
        <v>418</v>
      </c>
      <c r="F39" s="62">
        <v>31</v>
      </c>
      <c r="G39" s="65" t="s">
        <v>712</v>
      </c>
      <c r="H39" s="65" t="s">
        <v>712</v>
      </c>
      <c r="I39" s="65" t="s">
        <v>712</v>
      </c>
      <c r="J39" s="65" t="s">
        <v>712</v>
      </c>
      <c r="K39" s="65" t="s">
        <v>712</v>
      </c>
      <c r="L39" s="66"/>
      <c r="M39" s="66"/>
      <c r="N39" s="66"/>
      <c r="O39" s="66"/>
      <c r="P39" s="66"/>
      <c r="Q39" s="66"/>
      <c r="R39" s="67"/>
      <c r="S39" s="66"/>
      <c r="T39" s="68"/>
      <c r="U39" s="56"/>
      <c r="V39" s="56"/>
      <c r="W39" s="56"/>
      <c r="X39" s="56"/>
      <c r="Y39" s="56"/>
      <c r="Z39" s="56"/>
    </row>
    <row r="40" spans="1:26" ht="15.75" customHeight="1">
      <c r="A40" s="60">
        <v>38</v>
      </c>
      <c r="B40" s="85" t="s">
        <v>768</v>
      </c>
      <c r="C40" s="86">
        <v>88</v>
      </c>
      <c r="D40" s="87" t="s">
        <v>769</v>
      </c>
      <c r="E40" s="88" t="s">
        <v>770</v>
      </c>
      <c r="F40" s="86">
        <v>31</v>
      </c>
      <c r="G40" s="89" t="s">
        <v>712</v>
      </c>
      <c r="H40" s="89" t="s">
        <v>712</v>
      </c>
      <c r="I40" s="89" t="s">
        <v>712</v>
      </c>
      <c r="J40" s="89" t="s">
        <v>712</v>
      </c>
      <c r="K40" s="89" t="s">
        <v>712</v>
      </c>
      <c r="L40" s="90"/>
      <c r="M40" s="90"/>
      <c r="N40" s="90"/>
      <c r="O40" s="90"/>
      <c r="P40" s="90"/>
      <c r="Q40" s="90"/>
      <c r="R40" s="90"/>
      <c r="S40" s="90"/>
      <c r="T40" s="85"/>
      <c r="U40" s="56"/>
      <c r="V40" s="56"/>
      <c r="W40" s="56"/>
      <c r="X40" s="56"/>
      <c r="Y40" s="56"/>
      <c r="Z40" s="56"/>
    </row>
    <row r="41" spans="1:26" ht="15.75" customHeight="1">
      <c r="A41" s="60">
        <v>39</v>
      </c>
      <c r="B41" s="68" t="s">
        <v>680</v>
      </c>
      <c r="C41" s="62">
        <v>88</v>
      </c>
      <c r="D41" s="69" t="s">
        <v>429</v>
      </c>
      <c r="E41" s="70" t="s">
        <v>771</v>
      </c>
      <c r="F41" s="62">
        <v>31</v>
      </c>
      <c r="G41" s="72">
        <v>0</v>
      </c>
      <c r="H41" s="72">
        <v>1</v>
      </c>
      <c r="I41" s="72">
        <v>0</v>
      </c>
      <c r="J41" s="72">
        <v>0</v>
      </c>
      <c r="K41" s="71">
        <v>0</v>
      </c>
      <c r="L41" s="66"/>
      <c r="M41" s="66"/>
      <c r="N41" s="65">
        <v>0</v>
      </c>
      <c r="O41" s="65">
        <v>1</v>
      </c>
      <c r="P41" s="65">
        <v>0</v>
      </c>
      <c r="Q41" s="65">
        <v>0</v>
      </c>
      <c r="R41" s="71">
        <v>0</v>
      </c>
      <c r="S41" s="66"/>
      <c r="T41" s="68"/>
      <c r="U41" s="56"/>
      <c r="V41" s="56"/>
      <c r="W41" s="56"/>
      <c r="X41" s="56"/>
      <c r="Y41" s="56"/>
      <c r="Z41" s="56"/>
    </row>
    <row r="42" spans="1:26" ht="15.75" customHeight="1">
      <c r="A42" s="60">
        <v>40</v>
      </c>
      <c r="B42" s="82" t="s">
        <v>767</v>
      </c>
      <c r="C42" s="62">
        <v>88</v>
      </c>
      <c r="D42" s="63" t="s">
        <v>441</v>
      </c>
      <c r="E42" s="77" t="s">
        <v>772</v>
      </c>
      <c r="F42" s="62">
        <v>31</v>
      </c>
      <c r="G42" s="65" t="s">
        <v>712</v>
      </c>
      <c r="H42" s="65" t="s">
        <v>712</v>
      </c>
      <c r="I42" s="65" t="s">
        <v>712</v>
      </c>
      <c r="J42" s="65" t="s">
        <v>712</v>
      </c>
      <c r="K42" s="65" t="s">
        <v>712</v>
      </c>
      <c r="L42" s="66"/>
      <c r="M42" s="66"/>
      <c r="N42" s="66"/>
      <c r="O42" s="66"/>
      <c r="P42" s="66"/>
      <c r="Q42" s="66"/>
      <c r="R42" s="67"/>
      <c r="S42" s="66"/>
      <c r="T42" s="68"/>
      <c r="U42" s="56"/>
      <c r="V42" s="56"/>
      <c r="W42" s="56"/>
      <c r="X42" s="56"/>
      <c r="Y42" s="56"/>
      <c r="Z42" s="56"/>
    </row>
    <row r="43" spans="1:26" ht="15.75" customHeight="1">
      <c r="A43" s="60">
        <v>41</v>
      </c>
      <c r="B43" s="68" t="s">
        <v>713</v>
      </c>
      <c r="C43" s="62">
        <v>88</v>
      </c>
      <c r="D43" s="69" t="s">
        <v>453</v>
      </c>
      <c r="E43" s="70" t="s">
        <v>773</v>
      </c>
      <c r="F43" s="62">
        <v>31</v>
      </c>
      <c r="G43" s="72">
        <v>1</v>
      </c>
      <c r="H43" s="72">
        <v>0</v>
      </c>
      <c r="I43" s="72">
        <v>1</v>
      </c>
      <c r="J43" s="72">
        <v>0</v>
      </c>
      <c r="K43" s="71">
        <v>0</v>
      </c>
      <c r="L43" s="66"/>
      <c r="M43" s="66"/>
      <c r="N43" s="65">
        <v>0.5</v>
      </c>
      <c r="O43" s="65">
        <v>0</v>
      </c>
      <c r="P43" s="65">
        <v>0</v>
      </c>
      <c r="Q43" s="65">
        <v>0</v>
      </c>
      <c r="R43" s="71">
        <v>0</v>
      </c>
      <c r="S43" s="75">
        <v>2</v>
      </c>
      <c r="T43" s="68"/>
      <c r="U43" s="56"/>
      <c r="V43" s="56"/>
      <c r="W43" s="56"/>
      <c r="X43" s="56"/>
      <c r="Y43" s="56"/>
      <c r="Z43" s="56"/>
    </row>
    <row r="44" spans="1:26" ht="15.75" customHeight="1">
      <c r="A44" s="60">
        <v>42</v>
      </c>
      <c r="B44" s="68" t="s">
        <v>690</v>
      </c>
      <c r="C44" s="62">
        <v>88</v>
      </c>
      <c r="D44" s="69" t="s">
        <v>463</v>
      </c>
      <c r="E44" s="70" t="s">
        <v>774</v>
      </c>
      <c r="F44" s="62">
        <v>31</v>
      </c>
      <c r="G44" s="72">
        <v>1</v>
      </c>
      <c r="H44" s="72">
        <v>2</v>
      </c>
      <c r="I44" s="72">
        <v>2</v>
      </c>
      <c r="J44" s="72">
        <v>0</v>
      </c>
      <c r="K44" s="71">
        <v>0</v>
      </c>
      <c r="L44" s="66"/>
      <c r="M44" s="66"/>
      <c r="N44" s="65">
        <v>0</v>
      </c>
      <c r="O44" s="65">
        <v>0.5</v>
      </c>
      <c r="P44" s="65">
        <v>1</v>
      </c>
      <c r="Q44" s="65">
        <v>1</v>
      </c>
      <c r="R44" s="71">
        <v>0</v>
      </c>
      <c r="S44" s="66"/>
      <c r="T44" s="68"/>
      <c r="U44" s="56"/>
      <c r="V44" s="56"/>
      <c r="W44" s="56"/>
      <c r="X44" s="56"/>
      <c r="Y44" s="56"/>
      <c r="Z44" s="56"/>
    </row>
    <row r="45" spans="1:26" ht="15.75" customHeight="1">
      <c r="A45" s="60">
        <v>43</v>
      </c>
      <c r="B45" s="68" t="s">
        <v>716</v>
      </c>
      <c r="C45" s="62">
        <v>88</v>
      </c>
      <c r="D45" s="63" t="s">
        <v>775</v>
      </c>
      <c r="E45" s="77" t="s">
        <v>776</v>
      </c>
      <c r="F45" s="62">
        <v>31</v>
      </c>
      <c r="G45" s="65" t="s">
        <v>712</v>
      </c>
      <c r="H45" s="65" t="s">
        <v>712</v>
      </c>
      <c r="I45" s="65" t="s">
        <v>712</v>
      </c>
      <c r="J45" s="65" t="s">
        <v>712</v>
      </c>
      <c r="K45" s="65" t="s">
        <v>712</v>
      </c>
      <c r="L45" s="66"/>
      <c r="M45" s="66"/>
      <c r="N45" s="66"/>
      <c r="O45" s="66"/>
      <c r="P45" s="66"/>
      <c r="Q45" s="66"/>
      <c r="R45" s="67"/>
      <c r="S45" s="66"/>
      <c r="T45" s="68"/>
      <c r="U45" s="56"/>
      <c r="V45" s="56"/>
      <c r="W45" s="56"/>
      <c r="X45" s="56"/>
      <c r="Y45" s="56"/>
      <c r="Z45" s="56"/>
    </row>
    <row r="46" spans="1:26" ht="15.75" customHeight="1">
      <c r="A46" s="60">
        <v>44</v>
      </c>
      <c r="B46" s="68" t="s">
        <v>768</v>
      </c>
      <c r="C46" s="62">
        <v>88</v>
      </c>
      <c r="D46" s="69" t="s">
        <v>472</v>
      </c>
      <c r="E46" s="70" t="s">
        <v>777</v>
      </c>
      <c r="F46" s="62">
        <v>31</v>
      </c>
      <c r="G46" s="72">
        <v>0</v>
      </c>
      <c r="H46" s="72">
        <v>0</v>
      </c>
      <c r="I46" s="72">
        <v>0</v>
      </c>
      <c r="J46" s="72">
        <v>0</v>
      </c>
      <c r="K46" s="71">
        <v>0</v>
      </c>
      <c r="L46" s="66"/>
      <c r="M46" s="66"/>
      <c r="N46" s="65">
        <v>0</v>
      </c>
      <c r="O46" s="65">
        <v>0</v>
      </c>
      <c r="P46" s="65">
        <v>0</v>
      </c>
      <c r="Q46" s="65">
        <v>0</v>
      </c>
      <c r="R46" s="71">
        <v>0</v>
      </c>
      <c r="S46" s="66"/>
      <c r="T46" s="68"/>
      <c r="U46" s="56"/>
      <c r="V46" s="56"/>
      <c r="W46" s="56"/>
      <c r="X46" s="56"/>
      <c r="Y46" s="56"/>
      <c r="Z46" s="56"/>
    </row>
    <row r="47" spans="1:26" ht="15.75" customHeight="1">
      <c r="A47" s="60">
        <v>45</v>
      </c>
      <c r="B47" s="82" t="s">
        <v>767</v>
      </c>
      <c r="C47" s="62">
        <v>88</v>
      </c>
      <c r="D47" s="63" t="s">
        <v>778</v>
      </c>
      <c r="E47" s="77" t="s">
        <v>779</v>
      </c>
      <c r="F47" s="62">
        <v>31</v>
      </c>
      <c r="G47" s="65" t="s">
        <v>712</v>
      </c>
      <c r="H47" s="65" t="s">
        <v>712</v>
      </c>
      <c r="I47" s="65" t="s">
        <v>712</v>
      </c>
      <c r="J47" s="65" t="s">
        <v>712</v>
      </c>
      <c r="K47" s="65" t="s">
        <v>712</v>
      </c>
      <c r="L47" s="66"/>
      <c r="M47" s="66"/>
      <c r="N47" s="66"/>
      <c r="O47" s="66"/>
      <c r="P47" s="66"/>
      <c r="Q47" s="66"/>
      <c r="R47" s="67"/>
      <c r="S47" s="66"/>
      <c r="T47" s="68"/>
      <c r="U47" s="56"/>
      <c r="V47" s="56"/>
      <c r="W47" s="56"/>
      <c r="X47" s="56"/>
      <c r="Y47" s="56"/>
      <c r="Z47" s="56"/>
    </row>
    <row r="48" spans="1:26" ht="15.75" customHeight="1">
      <c r="A48" s="60">
        <v>46</v>
      </c>
      <c r="B48" s="68" t="s">
        <v>768</v>
      </c>
      <c r="C48" s="62">
        <v>88</v>
      </c>
      <c r="D48" s="69" t="s">
        <v>483</v>
      </c>
      <c r="E48" s="84" t="s">
        <v>484</v>
      </c>
      <c r="F48" s="62">
        <v>31</v>
      </c>
      <c r="G48" s="72">
        <v>0</v>
      </c>
      <c r="H48" s="72">
        <v>1</v>
      </c>
      <c r="I48" s="72">
        <v>0</v>
      </c>
      <c r="J48" s="72">
        <v>0</v>
      </c>
      <c r="K48" s="71">
        <v>0</v>
      </c>
      <c r="L48" s="66"/>
      <c r="M48" s="66"/>
      <c r="N48" s="65">
        <v>0</v>
      </c>
      <c r="O48" s="65">
        <v>0</v>
      </c>
      <c r="P48" s="65">
        <v>1</v>
      </c>
      <c r="Q48" s="65">
        <v>0</v>
      </c>
      <c r="R48" s="71">
        <v>0</v>
      </c>
      <c r="S48" s="66"/>
      <c r="T48" s="68"/>
      <c r="U48" s="56"/>
      <c r="V48" s="56"/>
      <c r="W48" s="56"/>
      <c r="X48" s="56"/>
      <c r="Y48" s="56"/>
      <c r="Z48" s="56"/>
    </row>
    <row r="49" spans="1:26" ht="15.75" customHeight="1">
      <c r="A49" s="60">
        <v>47</v>
      </c>
      <c r="B49" s="68" t="s">
        <v>768</v>
      </c>
      <c r="C49" s="62">
        <v>88</v>
      </c>
      <c r="D49" s="69" t="s">
        <v>494</v>
      </c>
      <c r="E49" s="70" t="s">
        <v>495</v>
      </c>
      <c r="F49" s="62">
        <v>31</v>
      </c>
      <c r="G49" s="72">
        <v>1</v>
      </c>
      <c r="H49" s="72">
        <v>2</v>
      </c>
      <c r="I49" s="72">
        <v>0</v>
      </c>
      <c r="J49" s="72">
        <v>0</v>
      </c>
      <c r="K49" s="71">
        <v>0</v>
      </c>
      <c r="L49" s="66"/>
      <c r="M49" s="66"/>
      <c r="N49" s="72">
        <v>0</v>
      </c>
      <c r="O49" s="72">
        <v>0.5</v>
      </c>
      <c r="P49" s="72">
        <v>2</v>
      </c>
      <c r="Q49" s="65">
        <v>0</v>
      </c>
      <c r="R49" s="71">
        <v>0</v>
      </c>
      <c r="S49" s="66"/>
      <c r="T49" s="68"/>
      <c r="U49" s="56"/>
      <c r="V49" s="56"/>
      <c r="W49" s="56"/>
      <c r="X49" s="56"/>
      <c r="Y49" s="56"/>
      <c r="Z49" s="56"/>
    </row>
    <row r="50" spans="1:26" ht="15.75" customHeight="1">
      <c r="A50" s="60">
        <v>48</v>
      </c>
      <c r="B50" s="84" t="s">
        <v>755</v>
      </c>
      <c r="C50" s="62">
        <v>88</v>
      </c>
      <c r="D50" s="69" t="s">
        <v>504</v>
      </c>
      <c r="E50" s="70" t="s">
        <v>780</v>
      </c>
      <c r="F50" s="62">
        <v>31</v>
      </c>
      <c r="G50" s="72">
        <v>1</v>
      </c>
      <c r="H50" s="72">
        <v>2</v>
      </c>
      <c r="I50" s="72">
        <v>2</v>
      </c>
      <c r="J50" s="72">
        <v>0</v>
      </c>
      <c r="K50" s="71">
        <v>0</v>
      </c>
      <c r="L50" s="66"/>
      <c r="M50" s="74" t="s">
        <v>758</v>
      </c>
      <c r="N50" s="72">
        <v>0.5</v>
      </c>
      <c r="O50" s="72">
        <v>0.5</v>
      </c>
      <c r="P50" s="72">
        <v>1</v>
      </c>
      <c r="Q50" s="65">
        <v>0</v>
      </c>
      <c r="R50" s="71">
        <v>0.5</v>
      </c>
      <c r="S50" s="66"/>
      <c r="T50" s="68"/>
      <c r="U50" s="56"/>
      <c r="V50" s="56"/>
      <c r="W50" s="56"/>
      <c r="X50" s="56"/>
      <c r="Y50" s="56"/>
      <c r="Z50" s="56"/>
    </row>
    <row r="51" spans="1:26" ht="15.75" customHeight="1">
      <c r="A51" s="60">
        <v>49</v>
      </c>
      <c r="B51" s="82" t="s">
        <v>781</v>
      </c>
      <c r="C51" s="62">
        <v>88</v>
      </c>
      <c r="D51" s="63" t="s">
        <v>782</v>
      </c>
      <c r="E51" s="77" t="s">
        <v>783</v>
      </c>
      <c r="F51" s="62">
        <v>31</v>
      </c>
      <c r="G51" s="65" t="s">
        <v>712</v>
      </c>
      <c r="H51" s="65" t="s">
        <v>712</v>
      </c>
      <c r="I51" s="65" t="s">
        <v>712</v>
      </c>
      <c r="J51" s="65" t="s">
        <v>712</v>
      </c>
      <c r="K51" s="65" t="s">
        <v>712</v>
      </c>
      <c r="L51" s="66"/>
      <c r="M51" s="66"/>
      <c r="N51" s="66"/>
      <c r="O51" s="66"/>
      <c r="P51" s="66"/>
      <c r="Q51" s="66"/>
      <c r="R51" s="67"/>
      <c r="S51" s="66"/>
      <c r="T51" s="68"/>
      <c r="U51" s="56"/>
      <c r="V51" s="56"/>
      <c r="W51" s="56"/>
      <c r="X51" s="56"/>
      <c r="Y51" s="56"/>
      <c r="Z51" s="56"/>
    </row>
    <row r="52" spans="1:26" ht="15.75" customHeight="1">
      <c r="A52" s="60">
        <v>50</v>
      </c>
      <c r="B52" s="68" t="s">
        <v>713</v>
      </c>
      <c r="C52" s="62">
        <v>88</v>
      </c>
      <c r="D52" s="69" t="s">
        <v>515</v>
      </c>
      <c r="E52" s="70" t="s">
        <v>784</v>
      </c>
      <c r="F52" s="62">
        <v>31</v>
      </c>
      <c r="G52" s="72">
        <v>0</v>
      </c>
      <c r="H52" s="72">
        <v>2</v>
      </c>
      <c r="I52" s="72">
        <v>2</v>
      </c>
      <c r="J52" s="72">
        <v>0</v>
      </c>
      <c r="K52" s="71">
        <v>0</v>
      </c>
      <c r="L52" s="66"/>
      <c r="M52" s="74" t="s">
        <v>785</v>
      </c>
      <c r="N52" s="72">
        <v>0.5</v>
      </c>
      <c r="O52" s="72">
        <v>0.5</v>
      </c>
      <c r="P52" s="72">
        <v>1</v>
      </c>
      <c r="Q52" s="65">
        <v>0</v>
      </c>
      <c r="R52" s="71">
        <v>0</v>
      </c>
      <c r="S52" s="66"/>
      <c r="T52" s="68"/>
      <c r="U52" s="56"/>
      <c r="V52" s="56"/>
      <c r="W52" s="56"/>
      <c r="X52" s="56"/>
      <c r="Y52" s="56"/>
      <c r="Z52" s="56"/>
    </row>
    <row r="53" spans="1:26" ht="15.75" customHeight="1">
      <c r="A53" s="60">
        <v>51</v>
      </c>
      <c r="B53" s="68" t="s">
        <v>762</v>
      </c>
      <c r="C53" s="62">
        <v>88</v>
      </c>
      <c r="D53" s="69" t="s">
        <v>528</v>
      </c>
      <c r="E53" s="70" t="s">
        <v>786</v>
      </c>
      <c r="F53" s="62">
        <v>31</v>
      </c>
      <c r="G53" s="72">
        <v>0</v>
      </c>
      <c r="H53" s="72">
        <v>2</v>
      </c>
      <c r="I53" s="72">
        <v>0</v>
      </c>
      <c r="J53" s="72">
        <v>0</v>
      </c>
      <c r="K53" s="71">
        <v>0</v>
      </c>
      <c r="L53" s="66"/>
      <c r="M53" s="74" t="s">
        <v>787</v>
      </c>
      <c r="N53" s="72">
        <v>0</v>
      </c>
      <c r="O53" s="72">
        <v>1</v>
      </c>
      <c r="P53" s="72">
        <v>1</v>
      </c>
      <c r="Q53" s="65">
        <v>0</v>
      </c>
      <c r="R53" s="71">
        <v>0</v>
      </c>
      <c r="S53" s="66"/>
      <c r="T53" s="68"/>
      <c r="U53" s="56"/>
      <c r="V53" s="56"/>
      <c r="W53" s="56"/>
      <c r="X53" s="56"/>
      <c r="Y53" s="56"/>
      <c r="Z53" s="56"/>
    </row>
    <row r="54" spans="1:26" ht="15.75" customHeight="1">
      <c r="A54" s="60">
        <v>52</v>
      </c>
      <c r="B54" s="68" t="s">
        <v>680</v>
      </c>
      <c r="C54" s="62">
        <v>88</v>
      </c>
      <c r="D54" s="69" t="s">
        <v>538</v>
      </c>
      <c r="E54" s="70" t="s">
        <v>788</v>
      </c>
      <c r="F54" s="62">
        <v>31</v>
      </c>
      <c r="G54" s="72">
        <v>0</v>
      </c>
      <c r="H54" s="72">
        <v>0</v>
      </c>
      <c r="I54" s="72">
        <v>0</v>
      </c>
      <c r="J54" s="72">
        <v>0</v>
      </c>
      <c r="K54" s="71">
        <v>0</v>
      </c>
      <c r="L54" s="66"/>
      <c r="M54" s="66"/>
      <c r="N54" s="65">
        <v>0</v>
      </c>
      <c r="O54" s="65">
        <v>0</v>
      </c>
      <c r="P54" s="72">
        <v>0</v>
      </c>
      <c r="Q54" s="65">
        <v>0</v>
      </c>
      <c r="R54" s="71">
        <v>0</v>
      </c>
      <c r="S54" s="66"/>
      <c r="T54" s="68"/>
      <c r="U54" s="56"/>
      <c r="V54" s="56"/>
      <c r="W54" s="56"/>
      <c r="X54" s="56"/>
      <c r="Y54" s="56"/>
      <c r="Z54" s="56"/>
    </row>
    <row r="55" spans="1:26" ht="15.75" customHeight="1">
      <c r="A55" s="60">
        <v>53</v>
      </c>
      <c r="B55" s="68" t="s">
        <v>680</v>
      </c>
      <c r="C55" s="62">
        <v>88</v>
      </c>
      <c r="D55" s="69" t="s">
        <v>550</v>
      </c>
      <c r="E55" s="70" t="s">
        <v>789</v>
      </c>
      <c r="F55" s="62">
        <v>31</v>
      </c>
      <c r="G55" s="72">
        <v>0</v>
      </c>
      <c r="H55" s="72">
        <v>4</v>
      </c>
      <c r="I55" s="72">
        <v>0</v>
      </c>
      <c r="J55" s="72">
        <v>0</v>
      </c>
      <c r="K55" s="71">
        <v>0</v>
      </c>
      <c r="L55" s="66"/>
      <c r="M55" s="66"/>
      <c r="N55" s="72">
        <v>0</v>
      </c>
      <c r="O55" s="72">
        <v>0</v>
      </c>
      <c r="P55" s="72">
        <v>4</v>
      </c>
      <c r="Q55" s="65">
        <v>0</v>
      </c>
      <c r="R55" s="71">
        <v>0</v>
      </c>
      <c r="S55" s="66"/>
      <c r="T55" s="68"/>
      <c r="U55" s="56"/>
      <c r="V55" s="56"/>
      <c r="W55" s="56"/>
      <c r="X55" s="56"/>
      <c r="Y55" s="56"/>
      <c r="Z55" s="56"/>
    </row>
    <row r="56" spans="1:26" ht="15.75" customHeight="1">
      <c r="A56" s="60">
        <v>54</v>
      </c>
      <c r="B56" s="68" t="s">
        <v>790</v>
      </c>
      <c r="C56" s="62">
        <v>88</v>
      </c>
      <c r="D56" s="63" t="s">
        <v>561</v>
      </c>
      <c r="E56" s="77" t="s">
        <v>791</v>
      </c>
      <c r="F56" s="62">
        <v>31</v>
      </c>
      <c r="G56" s="65" t="s">
        <v>712</v>
      </c>
      <c r="H56" s="65" t="s">
        <v>712</v>
      </c>
      <c r="I56" s="65" t="s">
        <v>712</v>
      </c>
      <c r="J56" s="65" t="s">
        <v>712</v>
      </c>
      <c r="K56" s="65" t="s">
        <v>712</v>
      </c>
      <c r="L56" s="66"/>
      <c r="M56" s="66"/>
      <c r="N56" s="66"/>
      <c r="O56" s="66"/>
      <c r="P56" s="66"/>
      <c r="Q56" s="66"/>
      <c r="R56" s="67"/>
      <c r="S56" s="66"/>
      <c r="T56" s="68"/>
      <c r="U56" s="56"/>
      <c r="V56" s="56"/>
      <c r="W56" s="56"/>
      <c r="X56" s="56"/>
      <c r="Y56" s="56"/>
      <c r="Z56" s="56"/>
    </row>
    <row r="57" spans="1:26" ht="15.75" customHeight="1">
      <c r="A57" s="60">
        <v>55</v>
      </c>
      <c r="B57" s="68" t="s">
        <v>655</v>
      </c>
      <c r="C57" s="62">
        <v>88</v>
      </c>
      <c r="D57" s="69" t="s">
        <v>573</v>
      </c>
      <c r="E57" s="70" t="s">
        <v>792</v>
      </c>
      <c r="F57" s="62">
        <v>31</v>
      </c>
      <c r="G57" s="72">
        <v>0</v>
      </c>
      <c r="H57" s="72">
        <v>1</v>
      </c>
      <c r="I57" s="72">
        <v>0</v>
      </c>
      <c r="J57" s="72">
        <v>0</v>
      </c>
      <c r="K57" s="71">
        <v>0</v>
      </c>
      <c r="L57" s="66"/>
      <c r="M57" s="66"/>
      <c r="N57" s="65">
        <v>0</v>
      </c>
      <c r="O57" s="65">
        <v>1</v>
      </c>
      <c r="P57" s="65">
        <v>0</v>
      </c>
      <c r="Q57" s="65">
        <v>0</v>
      </c>
      <c r="R57" s="71">
        <v>0</v>
      </c>
      <c r="S57" s="66"/>
      <c r="T57" s="68"/>
      <c r="U57" s="56"/>
      <c r="V57" s="56"/>
      <c r="W57" s="56"/>
      <c r="X57" s="56"/>
      <c r="Y57" s="56"/>
      <c r="Z57" s="56"/>
    </row>
    <row r="58" spans="1:26" ht="15.75" customHeight="1">
      <c r="A58" s="60">
        <v>56</v>
      </c>
      <c r="B58" s="68" t="s">
        <v>730</v>
      </c>
      <c r="C58" s="62">
        <v>88</v>
      </c>
      <c r="D58" s="69" t="s">
        <v>584</v>
      </c>
      <c r="E58" s="70" t="s">
        <v>793</v>
      </c>
      <c r="F58" s="62">
        <v>31</v>
      </c>
      <c r="G58" s="81">
        <v>0</v>
      </c>
      <c r="H58" s="72">
        <v>3</v>
      </c>
      <c r="I58" s="81">
        <v>1</v>
      </c>
      <c r="J58" s="81">
        <v>0</v>
      </c>
      <c r="K58" s="71">
        <v>0</v>
      </c>
      <c r="L58" s="66"/>
      <c r="M58" s="74" t="s">
        <v>761</v>
      </c>
      <c r="N58" s="81">
        <v>0.5</v>
      </c>
      <c r="O58" s="65">
        <v>0</v>
      </c>
      <c r="P58" s="65">
        <v>1</v>
      </c>
      <c r="Q58" s="65">
        <v>0</v>
      </c>
      <c r="R58" s="71">
        <v>1.5</v>
      </c>
      <c r="S58" s="75">
        <v>1</v>
      </c>
      <c r="T58" s="68"/>
      <c r="U58" s="56"/>
      <c r="V58" s="56"/>
      <c r="W58" s="56"/>
      <c r="X58" s="56"/>
      <c r="Y58" s="56"/>
      <c r="Z58" s="56"/>
    </row>
    <row r="59" spans="1:26" ht="15.75" customHeight="1">
      <c r="A59" s="60">
        <v>57</v>
      </c>
      <c r="B59" s="82" t="s">
        <v>716</v>
      </c>
      <c r="C59" s="62">
        <v>88</v>
      </c>
      <c r="D59" s="69" t="s">
        <v>595</v>
      </c>
      <c r="E59" s="91" t="s">
        <v>794</v>
      </c>
      <c r="F59" s="62">
        <v>31</v>
      </c>
      <c r="G59" s="65">
        <v>1</v>
      </c>
      <c r="H59" s="72">
        <v>2</v>
      </c>
      <c r="I59" s="65">
        <v>0</v>
      </c>
      <c r="J59" s="65">
        <v>1</v>
      </c>
      <c r="K59" s="71">
        <v>0</v>
      </c>
      <c r="L59" s="66"/>
      <c r="M59" s="66"/>
      <c r="N59" s="65">
        <v>0.5</v>
      </c>
      <c r="O59" s="65">
        <v>0</v>
      </c>
      <c r="P59" s="65">
        <v>2</v>
      </c>
      <c r="Q59" s="65">
        <v>0</v>
      </c>
      <c r="R59" s="71">
        <v>0</v>
      </c>
      <c r="S59" s="66"/>
      <c r="T59" s="68"/>
      <c r="U59" s="56"/>
      <c r="V59" s="56"/>
      <c r="W59" s="56"/>
      <c r="X59" s="56"/>
      <c r="Y59" s="56"/>
      <c r="Z59" s="56"/>
    </row>
    <row r="60" spans="1:26" ht="15.75" customHeight="1">
      <c r="A60" s="92">
        <v>58</v>
      </c>
      <c r="B60" s="85" t="s">
        <v>713</v>
      </c>
      <c r="C60" s="86" t="s">
        <v>795</v>
      </c>
      <c r="D60" s="87" t="s">
        <v>796</v>
      </c>
      <c r="E60" s="85" t="s">
        <v>797</v>
      </c>
      <c r="F60" s="86">
        <v>31</v>
      </c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56"/>
      <c r="V60" s="56"/>
      <c r="W60" s="56"/>
      <c r="X60" s="56"/>
      <c r="Y60" s="56"/>
      <c r="Z60" s="56"/>
    </row>
    <row r="61" spans="1:26" ht="15.75" customHeight="1">
      <c r="A61" s="60">
        <v>59</v>
      </c>
      <c r="B61" s="68" t="s">
        <v>713</v>
      </c>
      <c r="C61" s="62">
        <v>88</v>
      </c>
      <c r="D61" s="69" t="s">
        <v>798</v>
      </c>
      <c r="E61" s="91" t="s">
        <v>634</v>
      </c>
      <c r="F61" s="62">
        <v>31</v>
      </c>
      <c r="G61" s="81">
        <v>0</v>
      </c>
      <c r="H61" s="81">
        <v>0</v>
      </c>
      <c r="I61" s="81">
        <v>0</v>
      </c>
      <c r="J61" s="81">
        <v>0</v>
      </c>
      <c r="K61" s="71">
        <v>0</v>
      </c>
      <c r="L61" s="66"/>
      <c r="M61" s="66"/>
      <c r="N61" s="81">
        <v>0</v>
      </c>
      <c r="O61" s="81">
        <v>0</v>
      </c>
      <c r="P61" s="81">
        <v>0</v>
      </c>
      <c r="Q61" s="65">
        <v>0</v>
      </c>
      <c r="R61" s="71">
        <v>0</v>
      </c>
      <c r="S61" s="66"/>
      <c r="T61" s="66"/>
      <c r="U61" s="56"/>
      <c r="V61" s="56"/>
      <c r="W61" s="56"/>
      <c r="X61" s="56"/>
      <c r="Y61" s="56"/>
      <c r="Z61" s="56"/>
    </row>
    <row r="62" spans="1:26" ht="15.75" customHeight="1">
      <c r="A62" s="60">
        <v>61</v>
      </c>
      <c r="B62" s="68" t="s">
        <v>609</v>
      </c>
      <c r="C62" s="62">
        <v>88</v>
      </c>
      <c r="D62" s="63" t="s">
        <v>615</v>
      </c>
      <c r="E62" s="93" t="s">
        <v>616</v>
      </c>
      <c r="F62" s="62">
        <v>31</v>
      </c>
      <c r="G62" s="65" t="s">
        <v>712</v>
      </c>
      <c r="H62" s="65">
        <v>1</v>
      </c>
      <c r="I62" s="65" t="s">
        <v>712</v>
      </c>
      <c r="J62" s="65" t="s">
        <v>712</v>
      </c>
      <c r="K62" s="65" t="s">
        <v>712</v>
      </c>
      <c r="L62" s="66"/>
      <c r="M62" s="66"/>
      <c r="N62" s="66"/>
      <c r="O62" s="66"/>
      <c r="P62" s="66"/>
      <c r="Q62" s="66"/>
      <c r="R62" s="67"/>
      <c r="S62" s="66"/>
      <c r="T62" s="66"/>
      <c r="U62" s="56"/>
      <c r="V62" s="56"/>
      <c r="W62" s="56"/>
      <c r="X62" s="56"/>
      <c r="Y62" s="56"/>
      <c r="Z62" s="56"/>
    </row>
    <row r="63" spans="1:26" ht="15.75" customHeight="1">
      <c r="A63" s="60">
        <v>62</v>
      </c>
      <c r="B63" s="68" t="s">
        <v>609</v>
      </c>
      <c r="C63" s="62">
        <v>88</v>
      </c>
      <c r="D63" s="63" t="s">
        <v>623</v>
      </c>
      <c r="E63" s="93" t="s">
        <v>799</v>
      </c>
      <c r="F63" s="62">
        <v>31</v>
      </c>
      <c r="G63" s="65" t="s">
        <v>712</v>
      </c>
      <c r="H63" s="65">
        <v>1</v>
      </c>
      <c r="I63" s="65" t="s">
        <v>712</v>
      </c>
      <c r="J63" s="65" t="s">
        <v>712</v>
      </c>
      <c r="K63" s="65" t="s">
        <v>712</v>
      </c>
      <c r="L63" s="66"/>
      <c r="M63" s="66"/>
      <c r="N63" s="66"/>
      <c r="O63" s="66"/>
      <c r="P63" s="66"/>
      <c r="Q63" s="66"/>
      <c r="R63" s="67"/>
      <c r="S63" s="66"/>
      <c r="T63" s="66"/>
      <c r="U63" s="56"/>
      <c r="V63" s="56"/>
      <c r="W63" s="56"/>
      <c r="X63" s="56"/>
      <c r="Y63" s="56"/>
      <c r="Z63" s="56"/>
    </row>
    <row r="64" spans="1:26" ht="15.75" customHeight="1">
      <c r="A64" s="60">
        <v>63</v>
      </c>
      <c r="B64" s="68" t="s">
        <v>609</v>
      </c>
      <c r="C64" s="62">
        <v>88</v>
      </c>
      <c r="D64" s="63" t="s">
        <v>623</v>
      </c>
      <c r="E64" s="93" t="s">
        <v>608</v>
      </c>
      <c r="F64" s="62">
        <v>31</v>
      </c>
      <c r="G64" s="65" t="s">
        <v>712</v>
      </c>
      <c r="H64" s="65" t="s">
        <v>712</v>
      </c>
      <c r="I64" s="65" t="s">
        <v>712</v>
      </c>
      <c r="J64" s="65" t="s">
        <v>712</v>
      </c>
      <c r="K64" s="65" t="s">
        <v>712</v>
      </c>
      <c r="L64" s="66"/>
      <c r="M64" s="66"/>
      <c r="N64" s="66"/>
      <c r="O64" s="66"/>
      <c r="P64" s="66"/>
      <c r="Q64" s="66"/>
      <c r="R64" s="67"/>
      <c r="S64" s="66"/>
      <c r="T64" s="66"/>
      <c r="U64" s="56"/>
      <c r="V64" s="56"/>
      <c r="W64" s="56"/>
      <c r="X64" s="56"/>
      <c r="Y64" s="56"/>
      <c r="Z64" s="56"/>
    </row>
    <row r="65" spans="1:26" ht="15.75" customHeight="1">
      <c r="A65" s="60">
        <v>64</v>
      </c>
      <c r="B65" s="68" t="s">
        <v>713</v>
      </c>
      <c r="C65" s="62" t="s">
        <v>795</v>
      </c>
      <c r="D65" s="94">
        <v>13</v>
      </c>
      <c r="E65" s="68" t="s">
        <v>800</v>
      </c>
      <c r="F65" s="62">
        <v>31</v>
      </c>
      <c r="G65" s="66"/>
      <c r="H65" s="66"/>
      <c r="I65" s="66"/>
      <c r="J65" s="66"/>
      <c r="K65" s="95"/>
      <c r="L65" s="66"/>
      <c r="M65" s="66"/>
      <c r="N65" s="66"/>
      <c r="O65" s="66"/>
      <c r="P65" s="66"/>
      <c r="Q65" s="66"/>
      <c r="R65" s="95"/>
      <c r="S65" s="66"/>
      <c r="T65" s="68"/>
      <c r="U65" s="56"/>
      <c r="V65" s="56"/>
      <c r="W65" s="56"/>
      <c r="X65" s="56"/>
      <c r="Y65" s="56"/>
      <c r="Z65" s="56"/>
    </row>
    <row r="66" spans="1:26" ht="15.75" customHeight="1">
      <c r="A66" s="60">
        <v>65</v>
      </c>
      <c r="B66" s="68" t="s">
        <v>72</v>
      </c>
      <c r="C66" s="62">
        <v>88</v>
      </c>
      <c r="D66" s="63" t="s">
        <v>247</v>
      </c>
      <c r="E66" s="93" t="s">
        <v>248</v>
      </c>
      <c r="F66" s="62">
        <v>31</v>
      </c>
      <c r="G66" s="65" t="s">
        <v>712</v>
      </c>
      <c r="H66" s="65" t="s">
        <v>712</v>
      </c>
      <c r="I66" s="65" t="s">
        <v>712</v>
      </c>
      <c r="J66" s="65" t="s">
        <v>712</v>
      </c>
      <c r="K66" s="65" t="s">
        <v>712</v>
      </c>
      <c r="L66" s="66"/>
      <c r="M66" s="66"/>
      <c r="N66" s="81">
        <v>0</v>
      </c>
      <c r="O66" s="81">
        <v>0</v>
      </c>
      <c r="P66" s="81">
        <v>2</v>
      </c>
      <c r="Q66" s="81">
        <v>0</v>
      </c>
      <c r="R66" s="78">
        <v>0</v>
      </c>
      <c r="S66" s="66"/>
      <c r="T66" s="68"/>
      <c r="U66" s="56"/>
      <c r="V66" s="56"/>
      <c r="W66" s="56"/>
      <c r="X66" s="56"/>
      <c r="Y66" s="56"/>
      <c r="Z66" s="56"/>
    </row>
    <row r="67" spans="1:26" ht="15.75" customHeight="1">
      <c r="A67" s="60">
        <v>66</v>
      </c>
      <c r="B67" s="68" t="s">
        <v>72</v>
      </c>
      <c r="C67" s="62">
        <v>88</v>
      </c>
      <c r="D67" s="96"/>
      <c r="E67" s="93" t="s">
        <v>801</v>
      </c>
      <c r="F67" s="62">
        <v>31</v>
      </c>
      <c r="G67" s="65" t="s">
        <v>712</v>
      </c>
      <c r="H67" s="65" t="s">
        <v>712</v>
      </c>
      <c r="I67" s="65" t="s">
        <v>712</v>
      </c>
      <c r="J67" s="65" t="s">
        <v>712</v>
      </c>
      <c r="K67" s="65" t="s">
        <v>712</v>
      </c>
      <c r="L67" s="66"/>
      <c r="M67" s="66"/>
      <c r="N67" s="66"/>
      <c r="O67" s="66"/>
      <c r="P67" s="66"/>
      <c r="Q67" s="66"/>
      <c r="R67" s="67"/>
      <c r="S67" s="66"/>
      <c r="T67" s="68"/>
      <c r="U67" s="56"/>
      <c r="V67" s="56"/>
      <c r="W67" s="56"/>
      <c r="X67" s="56"/>
      <c r="Y67" s="56"/>
      <c r="Z67" s="56"/>
    </row>
    <row r="68" spans="1:26" ht="15.75" customHeight="1">
      <c r="A68" s="60">
        <v>67</v>
      </c>
      <c r="B68" s="68" t="s">
        <v>762</v>
      </c>
      <c r="C68" s="97">
        <v>88</v>
      </c>
      <c r="D68" s="69" t="s">
        <v>802</v>
      </c>
      <c r="E68" s="98" t="s">
        <v>803</v>
      </c>
      <c r="F68" s="62">
        <v>31</v>
      </c>
      <c r="G68" s="81">
        <v>0</v>
      </c>
      <c r="H68" s="81">
        <v>10</v>
      </c>
      <c r="I68" s="81">
        <v>0</v>
      </c>
      <c r="J68" s="81">
        <v>0</v>
      </c>
      <c r="K68" s="71">
        <v>0</v>
      </c>
      <c r="L68" s="66"/>
      <c r="M68" s="74" t="s">
        <v>766</v>
      </c>
      <c r="N68" s="81">
        <v>0</v>
      </c>
      <c r="O68" s="81">
        <v>1</v>
      </c>
      <c r="P68" s="81">
        <v>2</v>
      </c>
      <c r="Q68" s="81">
        <v>1</v>
      </c>
      <c r="R68" s="71">
        <v>6</v>
      </c>
      <c r="S68" s="83" t="s">
        <v>804</v>
      </c>
      <c r="T68" s="68"/>
      <c r="U68" s="56"/>
      <c r="V68" s="56"/>
      <c r="W68" s="56"/>
      <c r="X68" s="56"/>
      <c r="Y68" s="56"/>
      <c r="Z68" s="56"/>
    </row>
    <row r="69" spans="1:26" ht="15.75" customHeight="1">
      <c r="A69" s="60">
        <v>68</v>
      </c>
      <c r="B69" s="68" t="s">
        <v>762</v>
      </c>
      <c r="C69" s="97">
        <v>88</v>
      </c>
      <c r="D69" s="69" t="s">
        <v>805</v>
      </c>
      <c r="E69" s="98" t="s">
        <v>806</v>
      </c>
      <c r="F69" s="62">
        <v>31</v>
      </c>
      <c r="G69" s="81">
        <v>0</v>
      </c>
      <c r="H69" s="81">
        <v>23</v>
      </c>
      <c r="I69" s="81">
        <v>0</v>
      </c>
      <c r="J69" s="81">
        <v>0</v>
      </c>
      <c r="K69" s="71">
        <v>0</v>
      </c>
      <c r="L69" s="66"/>
      <c r="M69" s="66"/>
      <c r="N69" s="81">
        <v>0</v>
      </c>
      <c r="O69" s="81">
        <v>0</v>
      </c>
      <c r="P69" s="81">
        <v>0</v>
      </c>
      <c r="Q69" s="81">
        <v>0</v>
      </c>
      <c r="R69" s="71">
        <v>23</v>
      </c>
      <c r="S69" s="66"/>
      <c r="T69" s="68"/>
      <c r="U69" s="56"/>
      <c r="V69" s="56"/>
      <c r="W69" s="56"/>
      <c r="X69" s="56"/>
      <c r="Y69" s="56"/>
      <c r="Z69" s="56"/>
    </row>
    <row r="70" spans="1:26" ht="15.75" customHeight="1">
      <c r="A70" s="60">
        <v>69</v>
      </c>
      <c r="B70" s="68" t="s">
        <v>790</v>
      </c>
      <c r="C70" s="97">
        <v>88</v>
      </c>
      <c r="D70" s="96"/>
      <c r="E70" s="93" t="s">
        <v>807</v>
      </c>
      <c r="F70" s="62">
        <v>31</v>
      </c>
      <c r="G70" s="65" t="s">
        <v>712</v>
      </c>
      <c r="H70" s="65" t="s">
        <v>712</v>
      </c>
      <c r="I70" s="65" t="s">
        <v>712</v>
      </c>
      <c r="J70" s="65" t="s">
        <v>712</v>
      </c>
      <c r="K70" s="65" t="s">
        <v>712</v>
      </c>
      <c r="L70" s="66"/>
      <c r="M70" s="66"/>
      <c r="N70" s="66"/>
      <c r="O70" s="66"/>
      <c r="P70" s="66"/>
      <c r="Q70" s="66"/>
      <c r="R70" s="67"/>
      <c r="S70" s="66"/>
      <c r="T70" s="68"/>
      <c r="U70" s="56"/>
      <c r="V70" s="56"/>
      <c r="W70" s="56"/>
      <c r="X70" s="56"/>
      <c r="Y70" s="56"/>
      <c r="Z70" s="56"/>
    </row>
    <row r="71" spans="1:26" ht="15.75" customHeight="1">
      <c r="A71" s="60">
        <v>70</v>
      </c>
      <c r="B71" s="68" t="s">
        <v>72</v>
      </c>
      <c r="C71" s="97">
        <v>88</v>
      </c>
      <c r="D71" s="63" t="s">
        <v>119</v>
      </c>
      <c r="E71" s="93" t="s">
        <v>120</v>
      </c>
      <c r="F71" s="62">
        <v>31</v>
      </c>
      <c r="G71" s="65" t="s">
        <v>712</v>
      </c>
      <c r="H71" s="65" t="s">
        <v>712</v>
      </c>
      <c r="I71" s="65" t="s">
        <v>712</v>
      </c>
      <c r="J71" s="65" t="s">
        <v>712</v>
      </c>
      <c r="K71" s="65" t="s">
        <v>712</v>
      </c>
      <c r="L71" s="66"/>
      <c r="M71" s="66"/>
      <c r="N71" s="66"/>
      <c r="O71" s="66"/>
      <c r="P71" s="66"/>
      <c r="Q71" s="66"/>
      <c r="R71" s="67"/>
      <c r="S71" s="66"/>
      <c r="T71" s="68"/>
      <c r="U71" s="56"/>
      <c r="V71" s="56"/>
      <c r="W71" s="56"/>
      <c r="X71" s="56"/>
      <c r="Y71" s="56"/>
      <c r="Z71" s="56"/>
    </row>
    <row r="72" spans="1:26" ht="15.75" customHeight="1">
      <c r="A72" s="60">
        <v>71</v>
      </c>
      <c r="B72" s="68" t="s">
        <v>72</v>
      </c>
      <c r="C72" s="97">
        <v>88</v>
      </c>
      <c r="D72" s="96"/>
      <c r="E72" s="93" t="s">
        <v>808</v>
      </c>
      <c r="F72" s="62">
        <v>31</v>
      </c>
      <c r="G72" s="65" t="s">
        <v>712</v>
      </c>
      <c r="H72" s="65" t="s">
        <v>712</v>
      </c>
      <c r="I72" s="65" t="s">
        <v>712</v>
      </c>
      <c r="J72" s="65" t="s">
        <v>712</v>
      </c>
      <c r="K72" s="65" t="s">
        <v>712</v>
      </c>
      <c r="L72" s="66"/>
      <c r="M72" s="66"/>
      <c r="N72" s="66"/>
      <c r="O72" s="66"/>
      <c r="P72" s="66"/>
      <c r="Q72" s="66"/>
      <c r="R72" s="67"/>
      <c r="S72" s="66"/>
      <c r="T72" s="68"/>
      <c r="U72" s="56"/>
      <c r="V72" s="56"/>
      <c r="W72" s="56"/>
      <c r="X72" s="56"/>
      <c r="Y72" s="56"/>
      <c r="Z72" s="56"/>
    </row>
    <row r="73" spans="1:26" ht="15.75" customHeight="1">
      <c r="A73" s="60">
        <v>72</v>
      </c>
      <c r="B73" s="68" t="s">
        <v>768</v>
      </c>
      <c r="C73" s="97">
        <v>88</v>
      </c>
      <c r="D73" s="68"/>
      <c r="E73" s="98" t="s">
        <v>669</v>
      </c>
      <c r="F73" s="62">
        <v>31</v>
      </c>
      <c r="G73" s="81">
        <v>0</v>
      </c>
      <c r="H73" s="81">
        <v>2</v>
      </c>
      <c r="I73" s="81">
        <v>0</v>
      </c>
      <c r="J73" s="81">
        <v>0</v>
      </c>
      <c r="K73" s="71">
        <v>0</v>
      </c>
      <c r="L73" s="66"/>
      <c r="M73" s="66"/>
      <c r="N73" s="81">
        <v>1</v>
      </c>
      <c r="O73" s="81">
        <v>0</v>
      </c>
      <c r="P73" s="81">
        <v>1</v>
      </c>
      <c r="Q73" s="81">
        <v>0</v>
      </c>
      <c r="R73" s="71">
        <v>0</v>
      </c>
      <c r="S73" s="66"/>
      <c r="T73" s="68"/>
      <c r="U73" s="56"/>
      <c r="V73" s="56"/>
      <c r="W73" s="56"/>
      <c r="X73" s="56"/>
      <c r="Y73" s="56"/>
      <c r="Z73" s="56"/>
    </row>
    <row r="74" spans="1:26" ht="15.75" customHeight="1">
      <c r="A74" s="92">
        <v>73</v>
      </c>
      <c r="B74" s="85" t="s">
        <v>215</v>
      </c>
      <c r="C74" s="99" t="s">
        <v>219</v>
      </c>
      <c r="D74" s="100" t="s">
        <v>809</v>
      </c>
      <c r="E74" s="101" t="s">
        <v>810</v>
      </c>
      <c r="F74" s="86">
        <v>31</v>
      </c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85"/>
      <c r="U74" s="56"/>
      <c r="V74" s="56"/>
      <c r="W74" s="56"/>
      <c r="X74" s="56"/>
      <c r="Y74" s="56"/>
      <c r="Z74" s="56"/>
    </row>
    <row r="75" spans="1:26" ht="15.75" customHeight="1">
      <c r="A75" s="60">
        <v>74</v>
      </c>
      <c r="B75" s="68" t="s">
        <v>680</v>
      </c>
      <c r="C75" s="97">
        <v>88</v>
      </c>
      <c r="D75" s="68"/>
      <c r="E75" s="98" t="s">
        <v>677</v>
      </c>
      <c r="F75" s="62">
        <v>31</v>
      </c>
      <c r="G75" s="81">
        <v>0</v>
      </c>
      <c r="H75" s="81">
        <v>0</v>
      </c>
      <c r="I75" s="81">
        <v>0</v>
      </c>
      <c r="J75" s="81">
        <v>0</v>
      </c>
      <c r="K75" s="71">
        <v>0</v>
      </c>
      <c r="L75" s="66"/>
      <c r="M75" s="66"/>
      <c r="N75" s="81">
        <v>0</v>
      </c>
      <c r="O75" s="81">
        <v>0</v>
      </c>
      <c r="P75" s="81">
        <v>0</v>
      </c>
      <c r="Q75" s="81">
        <v>0</v>
      </c>
      <c r="R75" s="71">
        <v>0</v>
      </c>
      <c r="S75" s="66"/>
      <c r="T75" s="68"/>
      <c r="U75" s="56"/>
      <c r="V75" s="56"/>
      <c r="W75" s="56"/>
      <c r="X75" s="56"/>
      <c r="Y75" s="56"/>
      <c r="Z75" s="56"/>
    </row>
    <row r="76" spans="1:26" ht="15.75" customHeight="1">
      <c r="A76" s="60">
        <v>75</v>
      </c>
      <c r="B76" s="102" t="s">
        <v>781</v>
      </c>
      <c r="C76" s="97">
        <v>88</v>
      </c>
      <c r="D76" s="96"/>
      <c r="E76" s="93" t="s">
        <v>661</v>
      </c>
      <c r="F76" s="62">
        <v>31</v>
      </c>
      <c r="G76" s="81">
        <v>1</v>
      </c>
      <c r="H76" s="81" t="s">
        <v>712</v>
      </c>
      <c r="I76" s="81" t="s">
        <v>712</v>
      </c>
      <c r="J76" s="81" t="s">
        <v>712</v>
      </c>
      <c r="K76" s="81" t="s">
        <v>712</v>
      </c>
      <c r="L76" s="66"/>
      <c r="M76" s="66"/>
      <c r="N76" s="81">
        <v>0</v>
      </c>
      <c r="O76" s="81">
        <v>0.5</v>
      </c>
      <c r="P76" s="81">
        <v>0</v>
      </c>
      <c r="Q76" s="81">
        <v>0</v>
      </c>
      <c r="R76" s="78">
        <v>0</v>
      </c>
      <c r="S76" s="66"/>
      <c r="T76" s="68"/>
      <c r="U76" s="56"/>
      <c r="V76" s="56"/>
      <c r="W76" s="56"/>
      <c r="X76" s="56"/>
      <c r="Y76" s="56"/>
      <c r="Z76" s="56"/>
    </row>
    <row r="77" spans="1:26" ht="15.75" customHeight="1">
      <c r="A77" s="60">
        <v>76</v>
      </c>
      <c r="B77" s="68" t="s">
        <v>713</v>
      </c>
      <c r="C77" s="97" t="s">
        <v>795</v>
      </c>
      <c r="D77" s="69" t="s">
        <v>811</v>
      </c>
      <c r="E77" s="98" t="s">
        <v>791</v>
      </c>
      <c r="F77" s="62">
        <v>31</v>
      </c>
      <c r="G77" s="81">
        <v>0</v>
      </c>
      <c r="H77" s="81">
        <v>20</v>
      </c>
      <c r="I77" s="81">
        <v>0</v>
      </c>
      <c r="J77" s="81">
        <v>0</v>
      </c>
      <c r="K77" s="71">
        <v>0</v>
      </c>
      <c r="L77" s="66"/>
      <c r="M77" s="103" t="s">
        <v>812</v>
      </c>
      <c r="N77" s="66"/>
      <c r="O77" s="66"/>
      <c r="P77" s="66"/>
      <c r="Q77" s="66"/>
      <c r="R77" s="71">
        <v>20</v>
      </c>
      <c r="S77" s="66"/>
      <c r="T77" s="68"/>
      <c r="U77" s="56"/>
      <c r="V77" s="56"/>
      <c r="W77" s="56"/>
      <c r="X77" s="56"/>
      <c r="Y77" s="56"/>
      <c r="Z77" s="56"/>
    </row>
    <row r="78" spans="1:26" ht="15.75" customHeight="1">
      <c r="A78" s="60">
        <v>77</v>
      </c>
      <c r="B78" s="68"/>
      <c r="C78" s="68"/>
      <c r="D78" s="68"/>
      <c r="E78" s="104"/>
      <c r="F78" s="68"/>
      <c r="G78" s="66"/>
      <c r="H78" s="66"/>
      <c r="I78" s="66"/>
      <c r="J78" s="66"/>
      <c r="K78" s="95"/>
      <c r="L78" s="66"/>
      <c r="M78" s="66"/>
      <c r="N78" s="66"/>
      <c r="O78" s="66"/>
      <c r="P78" s="66"/>
      <c r="Q78" s="66"/>
      <c r="R78" s="95"/>
      <c r="S78" s="66"/>
      <c r="T78" s="68"/>
      <c r="U78" s="56"/>
      <c r="V78" s="56"/>
      <c r="W78" s="56"/>
      <c r="X78" s="56"/>
      <c r="Y78" s="56"/>
      <c r="Z78" s="56"/>
    </row>
    <row r="79" spans="1:26" ht="15.75" customHeight="1">
      <c r="A79" s="56"/>
      <c r="B79" s="56"/>
      <c r="C79" s="56"/>
      <c r="D79" s="56"/>
      <c r="E79" s="56"/>
      <c r="F79" s="56"/>
      <c r="G79" s="56"/>
      <c r="H79" s="56"/>
      <c r="I79" s="56"/>
      <c r="J79" s="56"/>
      <c r="K79" s="105"/>
      <c r="L79" s="56"/>
      <c r="M79" s="56"/>
      <c r="N79" s="56"/>
      <c r="O79" s="56"/>
      <c r="P79" s="56"/>
      <c r="Q79" s="56"/>
      <c r="R79" s="105"/>
      <c r="S79" s="56"/>
      <c r="T79" s="56"/>
      <c r="U79" s="56"/>
      <c r="V79" s="56"/>
      <c r="W79" s="56"/>
      <c r="X79" s="56"/>
      <c r="Y79" s="56"/>
      <c r="Z79" s="56"/>
    </row>
    <row r="80" spans="1:26" ht="15.75" customHeight="1">
      <c r="A80" s="56"/>
      <c r="B80" s="56"/>
      <c r="C80" s="56"/>
      <c r="D80" s="56"/>
      <c r="E80" s="56"/>
      <c r="F80" s="56"/>
      <c r="G80" s="56"/>
      <c r="H80" s="56"/>
      <c r="I80" s="56"/>
      <c r="J80" s="56"/>
      <c r="K80" s="105"/>
      <c r="L80" s="56"/>
      <c r="M80" s="56"/>
      <c r="N80" s="56"/>
      <c r="O80" s="56"/>
      <c r="P80" s="56"/>
      <c r="Q80" s="56"/>
      <c r="R80" s="105"/>
      <c r="S80" s="56"/>
      <c r="T80" s="56"/>
      <c r="U80" s="56"/>
      <c r="V80" s="56"/>
      <c r="W80" s="56"/>
      <c r="X80" s="56"/>
      <c r="Y80" s="56"/>
      <c r="Z80" s="56"/>
    </row>
    <row r="81" spans="1:26" ht="15.75" customHeight="1">
      <c r="A81" s="56"/>
      <c r="B81" s="56"/>
      <c r="C81" s="56"/>
      <c r="D81" s="56"/>
      <c r="E81" s="56"/>
      <c r="F81" s="56"/>
      <c r="G81" s="56"/>
      <c r="H81" s="56"/>
      <c r="I81" s="56"/>
      <c r="J81" s="56"/>
      <c r="K81" s="105"/>
      <c r="L81" s="56"/>
      <c r="M81" s="56"/>
      <c r="N81" s="56"/>
      <c r="O81" s="56"/>
      <c r="P81" s="56"/>
      <c r="Q81" s="56"/>
      <c r="R81" s="105"/>
      <c r="S81" s="56"/>
      <c r="T81" s="56"/>
      <c r="U81" s="56"/>
      <c r="V81" s="56"/>
      <c r="W81" s="56"/>
      <c r="X81" s="56"/>
      <c r="Y81" s="56"/>
      <c r="Z81" s="56"/>
    </row>
    <row r="82" spans="1:26" ht="15.75" customHeight="1">
      <c r="A82" s="56"/>
      <c r="B82" s="56"/>
      <c r="C82" s="56"/>
      <c r="D82" s="56"/>
      <c r="E82" s="56"/>
      <c r="F82" s="56"/>
      <c r="G82" s="56"/>
      <c r="H82" s="56"/>
      <c r="I82" s="56"/>
      <c r="J82" s="56"/>
      <c r="K82" s="105"/>
      <c r="L82" s="56"/>
      <c r="M82" s="56"/>
      <c r="N82" s="56"/>
      <c r="O82" s="56"/>
      <c r="P82" s="56"/>
      <c r="Q82" s="56"/>
      <c r="R82" s="105"/>
      <c r="S82" s="56"/>
      <c r="T82" s="56"/>
      <c r="U82" s="56"/>
      <c r="V82" s="56"/>
      <c r="W82" s="56"/>
      <c r="X82" s="56"/>
      <c r="Y82" s="56"/>
      <c r="Z82" s="56"/>
    </row>
    <row r="83" spans="1:26" ht="15.75" customHeight="1">
      <c r="A83" s="56"/>
      <c r="B83" s="56"/>
      <c r="C83" s="56"/>
      <c r="D83" s="56"/>
      <c r="E83" s="56"/>
      <c r="F83" s="56"/>
      <c r="G83" s="56"/>
      <c r="H83" s="56"/>
      <c r="I83" s="56"/>
      <c r="J83" s="56"/>
      <c r="K83" s="105"/>
      <c r="L83" s="56"/>
      <c r="M83" s="56"/>
      <c r="N83" s="56"/>
      <c r="O83" s="56"/>
      <c r="P83" s="56"/>
      <c r="Q83" s="56"/>
      <c r="R83" s="105"/>
      <c r="S83" s="56"/>
      <c r="T83" s="56"/>
      <c r="U83" s="56"/>
      <c r="V83" s="56"/>
      <c r="W83" s="56"/>
      <c r="X83" s="56"/>
      <c r="Y83" s="56"/>
      <c r="Z83" s="56"/>
    </row>
    <row r="84" spans="1:26" ht="15.75" customHeight="1">
      <c r="A84" s="56"/>
      <c r="B84" s="56"/>
      <c r="C84" s="56"/>
      <c r="D84" s="56"/>
      <c r="E84" s="56"/>
      <c r="F84" s="56"/>
      <c r="G84" s="56"/>
      <c r="H84" s="56"/>
      <c r="I84" s="56"/>
      <c r="J84" s="56"/>
      <c r="K84" s="105"/>
      <c r="L84" s="56"/>
      <c r="M84" s="56"/>
      <c r="N84" s="56"/>
      <c r="O84" s="56"/>
      <c r="P84" s="56"/>
      <c r="Q84" s="56"/>
      <c r="R84" s="105"/>
      <c r="S84" s="56"/>
      <c r="T84" s="56"/>
      <c r="U84" s="56"/>
      <c r="V84" s="56"/>
      <c r="W84" s="56"/>
      <c r="X84" s="56"/>
      <c r="Y84" s="56"/>
      <c r="Z84" s="56"/>
    </row>
    <row r="85" spans="1:26" ht="15.75" customHeight="1">
      <c r="A85" s="56"/>
      <c r="B85" s="56"/>
      <c r="C85" s="56"/>
      <c r="D85" s="56"/>
      <c r="E85" s="56"/>
      <c r="F85" s="56"/>
      <c r="G85" s="56"/>
      <c r="H85" s="56"/>
      <c r="I85" s="56"/>
      <c r="J85" s="56"/>
      <c r="K85" s="105"/>
      <c r="L85" s="56"/>
      <c r="M85" s="56"/>
      <c r="N85" s="56"/>
      <c r="O85" s="56"/>
      <c r="P85" s="56"/>
      <c r="Q85" s="56"/>
      <c r="R85" s="105"/>
      <c r="S85" s="56"/>
      <c r="T85" s="56"/>
      <c r="U85" s="56"/>
      <c r="V85" s="56"/>
      <c r="W85" s="56"/>
      <c r="X85" s="56"/>
      <c r="Y85" s="56"/>
      <c r="Z85" s="56"/>
    </row>
    <row r="86" spans="1:26" ht="15.75" customHeight="1">
      <c r="A86" s="56"/>
      <c r="B86" s="56"/>
      <c r="C86" s="56"/>
      <c r="D86" s="56"/>
      <c r="E86" s="56"/>
      <c r="F86" s="56"/>
      <c r="G86" s="56"/>
      <c r="H86" s="56"/>
      <c r="I86" s="56"/>
      <c r="J86" s="56"/>
      <c r="K86" s="105"/>
      <c r="L86" s="56"/>
      <c r="M86" s="56"/>
      <c r="N86" s="56"/>
      <c r="O86" s="56"/>
      <c r="P86" s="56"/>
      <c r="Q86" s="56"/>
      <c r="R86" s="105"/>
      <c r="S86" s="56"/>
      <c r="T86" s="56"/>
      <c r="U86" s="56"/>
      <c r="V86" s="56"/>
      <c r="W86" s="56"/>
      <c r="X86" s="56"/>
      <c r="Y86" s="56"/>
      <c r="Z86" s="56"/>
    </row>
    <row r="87" spans="1:26" ht="15.75" customHeight="1">
      <c r="A87" s="56"/>
      <c r="B87" s="56"/>
      <c r="C87" s="56"/>
      <c r="D87" s="56"/>
      <c r="E87" s="56"/>
      <c r="F87" s="56"/>
      <c r="G87" s="56"/>
      <c r="H87" s="56"/>
      <c r="I87" s="56"/>
      <c r="J87" s="56"/>
      <c r="K87" s="105"/>
      <c r="L87" s="56"/>
      <c r="M87" s="56"/>
      <c r="N87" s="56"/>
      <c r="O87" s="56"/>
      <c r="P87" s="56"/>
      <c r="Q87" s="56"/>
      <c r="R87" s="105"/>
      <c r="S87" s="56"/>
      <c r="T87" s="56"/>
      <c r="U87" s="56"/>
      <c r="V87" s="56"/>
      <c r="W87" s="56"/>
      <c r="X87" s="56"/>
      <c r="Y87" s="56"/>
      <c r="Z87" s="56"/>
    </row>
    <row r="88" spans="1:26" ht="15.75" customHeight="1">
      <c r="A88" s="56"/>
      <c r="B88" s="56"/>
      <c r="C88" s="56"/>
      <c r="D88" s="56"/>
      <c r="E88" s="56"/>
      <c r="F88" s="56"/>
      <c r="G88" s="56"/>
      <c r="H88" s="56"/>
      <c r="I88" s="56"/>
      <c r="J88" s="56"/>
      <c r="K88" s="105"/>
      <c r="L88" s="56"/>
      <c r="M88" s="56"/>
      <c r="N88" s="56"/>
      <c r="O88" s="56"/>
      <c r="P88" s="56"/>
      <c r="Q88" s="56"/>
      <c r="R88" s="105"/>
      <c r="S88" s="56"/>
      <c r="T88" s="56"/>
      <c r="U88" s="56"/>
      <c r="V88" s="56"/>
      <c r="W88" s="56"/>
      <c r="X88" s="56"/>
      <c r="Y88" s="56"/>
      <c r="Z88" s="56"/>
    </row>
    <row r="89" spans="1:26" ht="15.75" customHeight="1">
      <c r="A89" s="56"/>
      <c r="B89" s="56"/>
      <c r="C89" s="56"/>
      <c r="D89" s="56"/>
      <c r="E89" s="56"/>
      <c r="F89" s="56"/>
      <c r="G89" s="56"/>
      <c r="H89" s="56"/>
      <c r="I89" s="56"/>
      <c r="J89" s="56"/>
      <c r="K89" s="105"/>
      <c r="L89" s="56"/>
      <c r="M89" s="56"/>
      <c r="N89" s="56"/>
      <c r="O89" s="56"/>
      <c r="P89" s="56"/>
      <c r="Q89" s="56"/>
      <c r="R89" s="105"/>
      <c r="S89" s="56"/>
      <c r="T89" s="56"/>
      <c r="U89" s="56"/>
      <c r="V89" s="56"/>
      <c r="W89" s="56"/>
      <c r="X89" s="56"/>
      <c r="Y89" s="56"/>
      <c r="Z89" s="56"/>
    </row>
    <row r="90" spans="1:26" ht="15.75" customHeight="1">
      <c r="A90" s="56"/>
      <c r="B90" s="56"/>
      <c r="C90" s="56"/>
      <c r="D90" s="56"/>
      <c r="E90" s="56"/>
      <c r="F90" s="56"/>
      <c r="G90" s="56"/>
      <c r="H90" s="56"/>
      <c r="I90" s="56"/>
      <c r="J90" s="56"/>
      <c r="K90" s="105"/>
      <c r="L90" s="56"/>
      <c r="M90" s="56"/>
      <c r="N90" s="56"/>
      <c r="O90" s="56"/>
      <c r="P90" s="56"/>
      <c r="Q90" s="56"/>
      <c r="R90" s="105"/>
      <c r="S90" s="56"/>
      <c r="T90" s="56"/>
      <c r="U90" s="56"/>
      <c r="V90" s="56"/>
      <c r="W90" s="56"/>
      <c r="X90" s="56"/>
      <c r="Y90" s="56"/>
      <c r="Z90" s="56"/>
    </row>
    <row r="91" spans="1:26" ht="15.75" customHeight="1">
      <c r="A91" s="56"/>
      <c r="B91" s="56"/>
      <c r="C91" s="56"/>
      <c r="D91" s="56"/>
      <c r="E91" s="56"/>
      <c r="F91" s="56"/>
      <c r="G91" s="56"/>
      <c r="H91" s="56"/>
      <c r="I91" s="56"/>
      <c r="J91" s="56"/>
      <c r="K91" s="105"/>
      <c r="L91" s="56"/>
      <c r="M91" s="56"/>
      <c r="N91" s="56"/>
      <c r="O91" s="56"/>
      <c r="P91" s="56"/>
      <c r="Q91" s="56"/>
      <c r="R91" s="105"/>
      <c r="S91" s="56"/>
      <c r="T91" s="56"/>
      <c r="U91" s="56"/>
      <c r="V91" s="56"/>
      <c r="W91" s="56"/>
      <c r="X91" s="56"/>
      <c r="Y91" s="56"/>
      <c r="Z91" s="56"/>
    </row>
    <row r="92" spans="1:26" ht="15.75" customHeight="1">
      <c r="A92" s="56"/>
      <c r="B92" s="56"/>
      <c r="C92" s="56"/>
      <c r="D92" s="56"/>
      <c r="E92" s="56"/>
      <c r="F92" s="56"/>
      <c r="G92" s="56"/>
      <c r="H92" s="56"/>
      <c r="I92" s="56"/>
      <c r="J92" s="56"/>
      <c r="K92" s="105"/>
      <c r="L92" s="56"/>
      <c r="M92" s="56"/>
      <c r="N92" s="56"/>
      <c r="O92" s="56"/>
      <c r="P92" s="56"/>
      <c r="Q92" s="56"/>
      <c r="R92" s="105"/>
      <c r="S92" s="56"/>
      <c r="T92" s="56"/>
      <c r="U92" s="56"/>
      <c r="V92" s="56"/>
      <c r="W92" s="56"/>
      <c r="X92" s="56"/>
      <c r="Y92" s="56"/>
      <c r="Z92" s="56"/>
    </row>
    <row r="93" spans="1:26" ht="15.75" customHeight="1">
      <c r="A93" s="56"/>
      <c r="B93" s="56"/>
      <c r="C93" s="56"/>
      <c r="D93" s="56"/>
      <c r="E93" s="56"/>
      <c r="F93" s="56"/>
      <c r="G93" s="56"/>
      <c r="H93" s="56"/>
      <c r="I93" s="56"/>
      <c r="J93" s="56"/>
      <c r="K93" s="105"/>
      <c r="L93" s="56"/>
      <c r="M93" s="56"/>
      <c r="N93" s="56"/>
      <c r="O93" s="56"/>
      <c r="P93" s="56"/>
      <c r="Q93" s="56"/>
      <c r="R93" s="105"/>
      <c r="S93" s="56"/>
      <c r="T93" s="56"/>
      <c r="U93" s="56"/>
      <c r="V93" s="56"/>
      <c r="W93" s="56"/>
      <c r="X93" s="56"/>
      <c r="Y93" s="56"/>
      <c r="Z93" s="56"/>
    </row>
    <row r="94" spans="1:26" ht="15.75" customHeight="1">
      <c r="A94" s="56"/>
      <c r="B94" s="56"/>
      <c r="C94" s="56"/>
      <c r="D94" s="56"/>
      <c r="E94" s="56"/>
      <c r="F94" s="56"/>
      <c r="G94" s="56"/>
      <c r="H94" s="56"/>
      <c r="I94" s="56"/>
      <c r="J94" s="56"/>
      <c r="K94" s="105"/>
      <c r="L94" s="56"/>
      <c r="M94" s="56"/>
      <c r="N94" s="56"/>
      <c r="O94" s="56"/>
      <c r="P94" s="56"/>
      <c r="Q94" s="56"/>
      <c r="R94" s="105"/>
      <c r="S94" s="56"/>
      <c r="T94" s="56"/>
      <c r="U94" s="56"/>
      <c r="V94" s="56"/>
      <c r="W94" s="56"/>
      <c r="X94" s="56"/>
      <c r="Y94" s="56"/>
      <c r="Z94" s="56"/>
    </row>
    <row r="95" spans="1:26" ht="15.75" customHeight="1">
      <c r="A95" s="56"/>
      <c r="B95" s="56"/>
      <c r="C95" s="56"/>
      <c r="D95" s="56"/>
      <c r="E95" s="56"/>
      <c r="F95" s="56"/>
      <c r="G95" s="56"/>
      <c r="H95" s="56"/>
      <c r="I95" s="56"/>
      <c r="J95" s="56"/>
      <c r="K95" s="105"/>
      <c r="L95" s="56"/>
      <c r="M95" s="56"/>
      <c r="N95" s="56"/>
      <c r="O95" s="56"/>
      <c r="P95" s="56"/>
      <c r="Q95" s="56"/>
      <c r="R95" s="105"/>
      <c r="S95" s="56"/>
      <c r="T95" s="56"/>
      <c r="U95" s="56"/>
      <c r="V95" s="56"/>
      <c r="W95" s="56"/>
      <c r="X95" s="56"/>
      <c r="Y95" s="56"/>
      <c r="Z95" s="56"/>
    </row>
    <row r="96" spans="1:26" ht="15.75" customHeight="1">
      <c r="A96" s="56"/>
      <c r="B96" s="56"/>
      <c r="C96" s="56"/>
      <c r="D96" s="56"/>
      <c r="E96" s="56"/>
      <c r="F96" s="56"/>
      <c r="G96" s="56"/>
      <c r="H96" s="56"/>
      <c r="I96" s="56"/>
      <c r="J96" s="56"/>
      <c r="K96" s="105"/>
      <c r="L96" s="56"/>
      <c r="M96" s="56"/>
      <c r="N96" s="56"/>
      <c r="O96" s="56"/>
      <c r="P96" s="56"/>
      <c r="Q96" s="56"/>
      <c r="R96" s="105"/>
      <c r="S96" s="56"/>
      <c r="T96" s="56"/>
      <c r="U96" s="56"/>
      <c r="V96" s="56"/>
      <c r="W96" s="56"/>
      <c r="X96" s="56"/>
      <c r="Y96" s="56"/>
      <c r="Z96" s="56"/>
    </row>
    <row r="97" spans="1:26" ht="15.75" customHeight="1">
      <c r="A97" s="56"/>
      <c r="B97" s="56"/>
      <c r="C97" s="56"/>
      <c r="D97" s="56"/>
      <c r="E97" s="56"/>
      <c r="F97" s="56"/>
      <c r="G97" s="56"/>
      <c r="H97" s="56"/>
      <c r="I97" s="56"/>
      <c r="J97" s="56"/>
      <c r="K97" s="105"/>
      <c r="L97" s="56"/>
      <c r="M97" s="56"/>
      <c r="N97" s="56"/>
      <c r="O97" s="56"/>
      <c r="P97" s="56"/>
      <c r="Q97" s="56"/>
      <c r="R97" s="105"/>
      <c r="S97" s="56"/>
      <c r="T97" s="56"/>
      <c r="U97" s="56"/>
      <c r="V97" s="56"/>
      <c r="W97" s="56"/>
      <c r="X97" s="56"/>
      <c r="Y97" s="56"/>
      <c r="Z97" s="56"/>
    </row>
    <row r="98" spans="1:26" ht="15.75" customHeight="1">
      <c r="A98" s="56"/>
      <c r="B98" s="56"/>
      <c r="C98" s="56"/>
      <c r="D98" s="56"/>
      <c r="E98" s="56"/>
      <c r="F98" s="56"/>
      <c r="G98" s="56"/>
      <c r="H98" s="56"/>
      <c r="I98" s="56"/>
      <c r="J98" s="56"/>
      <c r="K98" s="105"/>
      <c r="L98" s="56"/>
      <c r="M98" s="56"/>
      <c r="N98" s="56"/>
      <c r="O98" s="56"/>
      <c r="P98" s="56"/>
      <c r="Q98" s="56"/>
      <c r="R98" s="105"/>
      <c r="S98" s="56"/>
      <c r="T98" s="56"/>
      <c r="U98" s="56"/>
      <c r="V98" s="56"/>
      <c r="W98" s="56"/>
      <c r="X98" s="56"/>
      <c r="Y98" s="56"/>
      <c r="Z98" s="56"/>
    </row>
    <row r="99" spans="1:26" ht="15.75" customHeight="1">
      <c r="A99" s="56"/>
      <c r="B99" s="56"/>
      <c r="C99" s="56"/>
      <c r="D99" s="56"/>
      <c r="E99" s="56"/>
      <c r="F99" s="56"/>
      <c r="G99" s="56"/>
      <c r="H99" s="56"/>
      <c r="I99" s="56"/>
      <c r="J99" s="56"/>
      <c r="K99" s="105"/>
      <c r="L99" s="56"/>
      <c r="M99" s="56"/>
      <c r="N99" s="56"/>
      <c r="O99" s="56"/>
      <c r="P99" s="56"/>
      <c r="Q99" s="56"/>
      <c r="R99" s="105"/>
      <c r="S99" s="56"/>
      <c r="T99" s="56"/>
      <c r="U99" s="56"/>
      <c r="V99" s="56"/>
      <c r="W99" s="56"/>
      <c r="X99" s="56"/>
      <c r="Y99" s="56"/>
      <c r="Z99" s="56"/>
    </row>
    <row r="100" spans="1:26" ht="15.75" customHeight="1">
      <c r="A100" s="56"/>
      <c r="B100" s="56"/>
      <c r="C100" s="56"/>
      <c r="D100" s="56"/>
      <c r="E100" s="56"/>
      <c r="F100" s="56"/>
      <c r="G100" s="56"/>
      <c r="H100" s="56"/>
      <c r="I100" s="56"/>
      <c r="J100" s="56"/>
      <c r="K100" s="105"/>
      <c r="L100" s="56"/>
      <c r="M100" s="56"/>
      <c r="N100" s="56"/>
      <c r="O100" s="56"/>
      <c r="P100" s="56"/>
      <c r="Q100" s="56"/>
      <c r="R100" s="105"/>
      <c r="S100" s="56"/>
      <c r="T100" s="56"/>
      <c r="U100" s="56"/>
      <c r="V100" s="56"/>
      <c r="W100" s="56"/>
      <c r="X100" s="56"/>
      <c r="Y100" s="56"/>
      <c r="Z100" s="56"/>
    </row>
    <row r="101" spans="1:26" ht="15.75" customHeight="1">
      <c r="A101" s="56"/>
      <c r="B101" s="56"/>
      <c r="C101" s="56"/>
      <c r="D101" s="56"/>
      <c r="E101" s="56"/>
      <c r="F101" s="56"/>
      <c r="G101" s="56"/>
      <c r="H101" s="56"/>
      <c r="I101" s="56"/>
      <c r="J101" s="56"/>
      <c r="K101" s="105"/>
      <c r="L101" s="56"/>
      <c r="M101" s="56"/>
      <c r="N101" s="56"/>
      <c r="O101" s="56"/>
      <c r="P101" s="56"/>
      <c r="Q101" s="56"/>
      <c r="R101" s="105"/>
      <c r="S101" s="56"/>
      <c r="T101" s="56"/>
      <c r="U101" s="56"/>
      <c r="V101" s="56"/>
      <c r="W101" s="56"/>
      <c r="X101" s="56"/>
      <c r="Y101" s="56"/>
      <c r="Z101" s="56"/>
    </row>
    <row r="102" spans="1:26" ht="15.75" customHeight="1">
      <c r="A102" s="56"/>
      <c r="B102" s="56"/>
      <c r="C102" s="56"/>
      <c r="D102" s="56"/>
      <c r="E102" s="56"/>
      <c r="F102" s="56"/>
      <c r="G102" s="56"/>
      <c r="H102" s="56"/>
      <c r="I102" s="56"/>
      <c r="J102" s="56"/>
      <c r="K102" s="105"/>
      <c r="L102" s="56"/>
      <c r="M102" s="56"/>
      <c r="N102" s="56"/>
      <c r="O102" s="56"/>
      <c r="P102" s="56"/>
      <c r="Q102" s="56"/>
      <c r="R102" s="105"/>
      <c r="S102" s="56"/>
      <c r="T102" s="56"/>
      <c r="U102" s="56"/>
      <c r="V102" s="56"/>
      <c r="W102" s="56"/>
      <c r="X102" s="56"/>
      <c r="Y102" s="56"/>
      <c r="Z102" s="56"/>
    </row>
    <row r="103" spans="1:26" ht="15.75" customHeight="1">
      <c r="A103" s="56"/>
      <c r="B103" s="56"/>
      <c r="C103" s="56"/>
      <c r="D103" s="56"/>
      <c r="E103" s="56"/>
      <c r="F103" s="56"/>
      <c r="G103" s="56"/>
      <c r="H103" s="56"/>
      <c r="I103" s="56"/>
      <c r="J103" s="56"/>
      <c r="K103" s="105"/>
      <c r="L103" s="56"/>
      <c r="M103" s="56"/>
      <c r="N103" s="56"/>
      <c r="O103" s="56"/>
      <c r="P103" s="56"/>
      <c r="Q103" s="56"/>
      <c r="R103" s="105"/>
      <c r="S103" s="56"/>
      <c r="T103" s="56"/>
      <c r="U103" s="56"/>
      <c r="V103" s="56"/>
      <c r="W103" s="56"/>
      <c r="X103" s="56"/>
      <c r="Y103" s="56"/>
      <c r="Z103" s="56"/>
    </row>
    <row r="104" spans="1:26" ht="15.75" customHeight="1">
      <c r="A104" s="56"/>
      <c r="B104" s="56"/>
      <c r="C104" s="56"/>
      <c r="D104" s="56"/>
      <c r="E104" s="56"/>
      <c r="F104" s="56"/>
      <c r="G104" s="56"/>
      <c r="H104" s="56"/>
      <c r="I104" s="56"/>
      <c r="J104" s="56"/>
      <c r="K104" s="105"/>
      <c r="L104" s="56"/>
      <c r="M104" s="56"/>
      <c r="N104" s="56"/>
      <c r="O104" s="56"/>
      <c r="P104" s="56"/>
      <c r="Q104" s="56"/>
      <c r="R104" s="105"/>
      <c r="S104" s="56"/>
      <c r="T104" s="56"/>
      <c r="U104" s="56"/>
      <c r="V104" s="56"/>
      <c r="W104" s="56"/>
      <c r="X104" s="56"/>
      <c r="Y104" s="56"/>
      <c r="Z104" s="56"/>
    </row>
    <row r="105" spans="1:26" ht="15.75" customHeight="1">
      <c r="A105" s="56"/>
      <c r="B105" s="56"/>
      <c r="C105" s="56"/>
      <c r="D105" s="56"/>
      <c r="E105" s="56"/>
      <c r="F105" s="56"/>
      <c r="G105" s="56"/>
      <c r="H105" s="56"/>
      <c r="I105" s="56"/>
      <c r="J105" s="56"/>
      <c r="K105" s="105"/>
      <c r="L105" s="56"/>
      <c r="M105" s="56"/>
      <c r="N105" s="56"/>
      <c r="O105" s="56"/>
      <c r="P105" s="56"/>
      <c r="Q105" s="56"/>
      <c r="R105" s="105"/>
      <c r="S105" s="56"/>
      <c r="T105" s="56"/>
      <c r="U105" s="56"/>
      <c r="V105" s="56"/>
      <c r="W105" s="56"/>
      <c r="X105" s="56"/>
      <c r="Y105" s="56"/>
      <c r="Z105" s="56"/>
    </row>
    <row r="106" spans="1:26" ht="15.75" customHeight="1">
      <c r="A106" s="56"/>
      <c r="B106" s="56"/>
      <c r="C106" s="56"/>
      <c r="D106" s="56"/>
      <c r="E106" s="56"/>
      <c r="F106" s="56"/>
      <c r="G106" s="56"/>
      <c r="H106" s="56"/>
      <c r="I106" s="56"/>
      <c r="J106" s="56"/>
      <c r="K106" s="105"/>
      <c r="L106" s="56"/>
      <c r="M106" s="56"/>
      <c r="N106" s="56"/>
      <c r="O106" s="56"/>
      <c r="P106" s="56"/>
      <c r="Q106" s="56"/>
      <c r="R106" s="105"/>
      <c r="S106" s="56"/>
      <c r="T106" s="56"/>
      <c r="U106" s="56"/>
      <c r="V106" s="56"/>
      <c r="W106" s="56"/>
      <c r="X106" s="56"/>
      <c r="Y106" s="56"/>
      <c r="Z106" s="56"/>
    </row>
    <row r="107" spans="1:26" ht="15.75" customHeight="1">
      <c r="A107" s="56"/>
      <c r="B107" s="56"/>
      <c r="C107" s="56"/>
      <c r="D107" s="56"/>
      <c r="E107" s="56"/>
      <c r="F107" s="56"/>
      <c r="G107" s="56"/>
      <c r="H107" s="56"/>
      <c r="I107" s="56"/>
      <c r="J107" s="56"/>
      <c r="K107" s="105"/>
      <c r="L107" s="56"/>
      <c r="M107" s="56"/>
      <c r="N107" s="56"/>
      <c r="O107" s="56"/>
      <c r="P107" s="56"/>
      <c r="Q107" s="56"/>
      <c r="R107" s="105"/>
      <c r="S107" s="56"/>
      <c r="T107" s="56"/>
      <c r="U107" s="56"/>
      <c r="V107" s="56"/>
      <c r="W107" s="56"/>
      <c r="X107" s="56"/>
      <c r="Y107" s="56"/>
      <c r="Z107" s="56"/>
    </row>
    <row r="108" spans="1:26" ht="15.75" customHeight="1">
      <c r="A108" s="56"/>
      <c r="B108" s="56"/>
      <c r="C108" s="56"/>
      <c r="D108" s="56"/>
      <c r="E108" s="56"/>
      <c r="F108" s="56"/>
      <c r="G108" s="56"/>
      <c r="H108" s="56"/>
      <c r="I108" s="56"/>
      <c r="J108" s="56"/>
      <c r="K108" s="105"/>
      <c r="L108" s="56"/>
      <c r="M108" s="56"/>
      <c r="N108" s="56"/>
      <c r="O108" s="56"/>
      <c r="P108" s="56"/>
      <c r="Q108" s="56"/>
      <c r="R108" s="105"/>
      <c r="S108" s="56"/>
      <c r="T108" s="56"/>
      <c r="U108" s="56"/>
      <c r="V108" s="56"/>
      <c r="W108" s="56"/>
      <c r="X108" s="56"/>
      <c r="Y108" s="56"/>
      <c r="Z108" s="56"/>
    </row>
    <row r="109" spans="1:26" ht="15.75" customHeight="1">
      <c r="A109" s="56"/>
      <c r="B109" s="56"/>
      <c r="C109" s="56"/>
      <c r="D109" s="56"/>
      <c r="E109" s="56"/>
      <c r="F109" s="56"/>
      <c r="G109" s="56"/>
      <c r="H109" s="56"/>
      <c r="I109" s="56"/>
      <c r="J109" s="56"/>
      <c r="K109" s="105"/>
      <c r="L109" s="56"/>
      <c r="M109" s="56"/>
      <c r="N109" s="56"/>
      <c r="O109" s="56"/>
      <c r="P109" s="56"/>
      <c r="Q109" s="56"/>
      <c r="R109" s="105"/>
      <c r="S109" s="56"/>
      <c r="T109" s="56"/>
      <c r="U109" s="56"/>
      <c r="V109" s="56"/>
      <c r="W109" s="56"/>
      <c r="X109" s="56"/>
      <c r="Y109" s="56"/>
      <c r="Z109" s="56"/>
    </row>
    <row r="110" spans="1:26" ht="15.75" customHeight="1">
      <c r="A110" s="56"/>
      <c r="B110" s="56"/>
      <c r="C110" s="56"/>
      <c r="D110" s="56"/>
      <c r="E110" s="56"/>
      <c r="F110" s="56"/>
      <c r="G110" s="56"/>
      <c r="H110" s="56"/>
      <c r="I110" s="56"/>
      <c r="J110" s="56"/>
      <c r="K110" s="105"/>
      <c r="L110" s="56"/>
      <c r="M110" s="56"/>
      <c r="N110" s="56"/>
      <c r="O110" s="56"/>
      <c r="P110" s="56"/>
      <c r="Q110" s="56"/>
      <c r="R110" s="105"/>
      <c r="S110" s="56"/>
      <c r="T110" s="56"/>
      <c r="U110" s="56"/>
      <c r="V110" s="56"/>
      <c r="W110" s="56"/>
      <c r="X110" s="56"/>
      <c r="Y110" s="56"/>
      <c r="Z110" s="56"/>
    </row>
    <row r="111" spans="1:26" ht="15.75" customHeight="1">
      <c r="A111" s="56"/>
      <c r="B111" s="56"/>
      <c r="C111" s="56"/>
      <c r="D111" s="56"/>
      <c r="E111" s="56"/>
      <c r="F111" s="56"/>
      <c r="G111" s="56"/>
      <c r="H111" s="56"/>
      <c r="I111" s="56"/>
      <c r="J111" s="56"/>
      <c r="K111" s="105"/>
      <c r="L111" s="56"/>
      <c r="M111" s="56"/>
      <c r="N111" s="56"/>
      <c r="O111" s="56"/>
      <c r="P111" s="56"/>
      <c r="Q111" s="56"/>
      <c r="R111" s="105"/>
      <c r="S111" s="56"/>
      <c r="T111" s="56"/>
      <c r="U111" s="56"/>
      <c r="V111" s="56"/>
      <c r="W111" s="56"/>
      <c r="X111" s="56"/>
      <c r="Y111" s="56"/>
      <c r="Z111" s="56"/>
    </row>
    <row r="112" spans="1:26" ht="15.75" customHeight="1">
      <c r="A112" s="56"/>
      <c r="B112" s="56"/>
      <c r="C112" s="56"/>
      <c r="D112" s="56"/>
      <c r="E112" s="56"/>
      <c r="F112" s="56"/>
      <c r="G112" s="56"/>
      <c r="H112" s="56"/>
      <c r="I112" s="56"/>
      <c r="J112" s="56"/>
      <c r="K112" s="105"/>
      <c r="L112" s="56"/>
      <c r="M112" s="56"/>
      <c r="N112" s="56"/>
      <c r="O112" s="56"/>
      <c r="P112" s="56"/>
      <c r="Q112" s="56"/>
      <c r="R112" s="105"/>
      <c r="S112" s="56"/>
      <c r="T112" s="56"/>
      <c r="U112" s="56"/>
      <c r="V112" s="56"/>
      <c r="W112" s="56"/>
      <c r="X112" s="56"/>
      <c r="Y112" s="56"/>
      <c r="Z112" s="56"/>
    </row>
    <row r="113" spans="1:26" ht="15.75" customHeight="1">
      <c r="A113" s="56"/>
      <c r="B113" s="56"/>
      <c r="C113" s="56"/>
      <c r="D113" s="56"/>
      <c r="E113" s="56"/>
      <c r="F113" s="56"/>
      <c r="G113" s="56"/>
      <c r="H113" s="56"/>
      <c r="I113" s="56"/>
      <c r="J113" s="56"/>
      <c r="K113" s="105"/>
      <c r="L113" s="56"/>
      <c r="M113" s="56"/>
      <c r="N113" s="56"/>
      <c r="O113" s="56"/>
      <c r="P113" s="56"/>
      <c r="Q113" s="56"/>
      <c r="R113" s="105"/>
      <c r="S113" s="56"/>
      <c r="T113" s="56"/>
      <c r="U113" s="56"/>
      <c r="V113" s="56"/>
      <c r="W113" s="56"/>
      <c r="X113" s="56"/>
      <c r="Y113" s="56"/>
      <c r="Z113" s="56"/>
    </row>
    <row r="114" spans="1:26" ht="15.75" customHeight="1">
      <c r="A114" s="56"/>
      <c r="B114" s="56"/>
      <c r="C114" s="56"/>
      <c r="D114" s="56"/>
      <c r="E114" s="56"/>
      <c r="F114" s="56"/>
      <c r="G114" s="56"/>
      <c r="H114" s="56"/>
      <c r="I114" s="56"/>
      <c r="J114" s="56"/>
      <c r="K114" s="105"/>
      <c r="L114" s="56"/>
      <c r="M114" s="56"/>
      <c r="N114" s="56"/>
      <c r="O114" s="56"/>
      <c r="P114" s="56"/>
      <c r="Q114" s="56"/>
      <c r="R114" s="105"/>
      <c r="S114" s="56"/>
      <c r="T114" s="56"/>
      <c r="U114" s="56"/>
      <c r="V114" s="56"/>
      <c r="W114" s="56"/>
      <c r="X114" s="56"/>
      <c r="Y114" s="56"/>
      <c r="Z114" s="56"/>
    </row>
    <row r="115" spans="1:26" ht="15.75" customHeight="1">
      <c r="A115" s="56"/>
      <c r="B115" s="56"/>
      <c r="C115" s="56"/>
      <c r="D115" s="56"/>
      <c r="E115" s="56"/>
      <c r="F115" s="56"/>
      <c r="G115" s="56"/>
      <c r="H115" s="56"/>
      <c r="I115" s="56"/>
      <c r="J115" s="56"/>
      <c r="K115" s="105"/>
      <c r="L115" s="56"/>
      <c r="M115" s="56"/>
      <c r="N115" s="56"/>
      <c r="O115" s="56"/>
      <c r="P115" s="56"/>
      <c r="Q115" s="56"/>
      <c r="R115" s="105"/>
      <c r="S115" s="56"/>
      <c r="T115" s="56"/>
      <c r="U115" s="56"/>
      <c r="V115" s="56"/>
      <c r="W115" s="56"/>
      <c r="X115" s="56"/>
      <c r="Y115" s="56"/>
      <c r="Z115" s="56"/>
    </row>
    <row r="116" spans="1:26" ht="15.75" customHeight="1">
      <c r="A116" s="56"/>
      <c r="B116" s="56"/>
      <c r="C116" s="56"/>
      <c r="D116" s="56"/>
      <c r="E116" s="56"/>
      <c r="F116" s="56"/>
      <c r="G116" s="56"/>
      <c r="H116" s="56"/>
      <c r="I116" s="56"/>
      <c r="J116" s="56"/>
      <c r="K116" s="105"/>
      <c r="L116" s="56"/>
      <c r="M116" s="56"/>
      <c r="N116" s="56"/>
      <c r="O116" s="56"/>
      <c r="P116" s="56"/>
      <c r="Q116" s="56"/>
      <c r="R116" s="105"/>
      <c r="S116" s="56"/>
      <c r="T116" s="56"/>
      <c r="U116" s="56"/>
      <c r="V116" s="56"/>
      <c r="W116" s="56"/>
      <c r="X116" s="56"/>
      <c r="Y116" s="56"/>
      <c r="Z116" s="56"/>
    </row>
    <row r="117" spans="1:26" ht="15.75" customHeight="1">
      <c r="A117" s="56"/>
      <c r="B117" s="56"/>
      <c r="C117" s="56"/>
      <c r="D117" s="56"/>
      <c r="E117" s="56"/>
      <c r="F117" s="56"/>
      <c r="G117" s="56"/>
      <c r="H117" s="56"/>
      <c r="I117" s="56"/>
      <c r="J117" s="56"/>
      <c r="K117" s="105"/>
      <c r="L117" s="56"/>
      <c r="M117" s="56"/>
      <c r="N117" s="56"/>
      <c r="O117" s="56"/>
      <c r="P117" s="56"/>
      <c r="Q117" s="56"/>
      <c r="R117" s="105"/>
      <c r="S117" s="56"/>
      <c r="T117" s="56"/>
      <c r="U117" s="56"/>
      <c r="V117" s="56"/>
      <c r="W117" s="56"/>
      <c r="X117" s="56"/>
      <c r="Y117" s="56"/>
      <c r="Z117" s="56"/>
    </row>
    <row r="118" spans="1:26" ht="15.75" customHeight="1">
      <c r="A118" s="56"/>
      <c r="B118" s="56"/>
      <c r="C118" s="56"/>
      <c r="D118" s="56"/>
      <c r="E118" s="56"/>
      <c r="F118" s="56"/>
      <c r="G118" s="56"/>
      <c r="H118" s="56"/>
      <c r="I118" s="56"/>
      <c r="J118" s="56"/>
      <c r="K118" s="105"/>
      <c r="L118" s="56"/>
      <c r="M118" s="56"/>
      <c r="N118" s="56"/>
      <c r="O118" s="56"/>
      <c r="P118" s="56"/>
      <c r="Q118" s="56"/>
      <c r="R118" s="105"/>
      <c r="S118" s="56"/>
      <c r="T118" s="56"/>
      <c r="U118" s="56"/>
      <c r="V118" s="56"/>
      <c r="W118" s="56"/>
      <c r="X118" s="56"/>
      <c r="Y118" s="56"/>
      <c r="Z118" s="56"/>
    </row>
    <row r="119" spans="1:26" ht="15.75" customHeight="1">
      <c r="A119" s="56"/>
      <c r="B119" s="56"/>
      <c r="C119" s="56"/>
      <c r="D119" s="56"/>
      <c r="E119" s="56"/>
      <c r="F119" s="56"/>
      <c r="G119" s="56"/>
      <c r="H119" s="56"/>
      <c r="I119" s="56"/>
      <c r="J119" s="56"/>
      <c r="K119" s="105"/>
      <c r="L119" s="56"/>
      <c r="M119" s="56"/>
      <c r="N119" s="56"/>
      <c r="O119" s="56"/>
      <c r="P119" s="56"/>
      <c r="Q119" s="56"/>
      <c r="R119" s="105"/>
      <c r="S119" s="56"/>
      <c r="T119" s="56"/>
      <c r="U119" s="56"/>
      <c r="V119" s="56"/>
      <c r="W119" s="56"/>
      <c r="X119" s="56"/>
      <c r="Y119" s="56"/>
      <c r="Z119" s="56"/>
    </row>
    <row r="120" spans="1:26" ht="15.75" customHeight="1">
      <c r="A120" s="56"/>
      <c r="B120" s="56"/>
      <c r="C120" s="56"/>
      <c r="D120" s="56"/>
      <c r="E120" s="56"/>
      <c r="F120" s="56"/>
      <c r="G120" s="56"/>
      <c r="H120" s="56"/>
      <c r="I120" s="56"/>
      <c r="J120" s="56"/>
      <c r="K120" s="105"/>
      <c r="L120" s="56"/>
      <c r="M120" s="56"/>
      <c r="N120" s="56"/>
      <c r="O120" s="56"/>
      <c r="P120" s="56"/>
      <c r="Q120" s="56"/>
      <c r="R120" s="105"/>
      <c r="S120" s="56"/>
      <c r="T120" s="56"/>
      <c r="U120" s="56"/>
      <c r="V120" s="56"/>
      <c r="W120" s="56"/>
      <c r="X120" s="56"/>
      <c r="Y120" s="56"/>
      <c r="Z120" s="56"/>
    </row>
    <row r="121" spans="1:26" ht="15.75" customHeight="1">
      <c r="A121" s="56"/>
      <c r="B121" s="56"/>
      <c r="C121" s="56"/>
      <c r="D121" s="56"/>
      <c r="E121" s="56"/>
      <c r="F121" s="56"/>
      <c r="G121" s="56"/>
      <c r="H121" s="56"/>
      <c r="I121" s="56"/>
      <c r="J121" s="56"/>
      <c r="K121" s="105"/>
      <c r="L121" s="56"/>
      <c r="M121" s="56"/>
      <c r="N121" s="56"/>
      <c r="O121" s="56"/>
      <c r="P121" s="56"/>
      <c r="Q121" s="56"/>
      <c r="R121" s="105"/>
      <c r="S121" s="56"/>
      <c r="T121" s="56"/>
      <c r="U121" s="56"/>
      <c r="V121" s="56"/>
      <c r="W121" s="56"/>
      <c r="X121" s="56"/>
      <c r="Y121" s="56"/>
      <c r="Z121" s="56"/>
    </row>
    <row r="122" spans="1:26" ht="15.75" customHeight="1">
      <c r="A122" s="56"/>
      <c r="B122" s="56"/>
      <c r="C122" s="56"/>
      <c r="D122" s="56"/>
      <c r="E122" s="56"/>
      <c r="F122" s="56"/>
      <c r="G122" s="56"/>
      <c r="H122" s="56"/>
      <c r="I122" s="56"/>
      <c r="J122" s="56"/>
      <c r="K122" s="105"/>
      <c r="L122" s="56"/>
      <c r="M122" s="56"/>
      <c r="N122" s="56"/>
      <c r="O122" s="56"/>
      <c r="P122" s="56"/>
      <c r="Q122" s="56"/>
      <c r="R122" s="105"/>
      <c r="S122" s="56"/>
      <c r="T122" s="56"/>
      <c r="U122" s="56"/>
      <c r="V122" s="56"/>
      <c r="W122" s="56"/>
      <c r="X122" s="56"/>
      <c r="Y122" s="56"/>
      <c r="Z122" s="56"/>
    </row>
    <row r="123" spans="1:26" ht="15.75" customHeight="1">
      <c r="A123" s="56"/>
      <c r="B123" s="56"/>
      <c r="C123" s="56"/>
      <c r="D123" s="56"/>
      <c r="E123" s="56"/>
      <c r="F123" s="56"/>
      <c r="G123" s="56"/>
      <c r="H123" s="56"/>
      <c r="I123" s="56"/>
      <c r="J123" s="56"/>
      <c r="K123" s="105"/>
      <c r="L123" s="56"/>
      <c r="M123" s="56"/>
      <c r="N123" s="56"/>
      <c r="O123" s="56"/>
      <c r="P123" s="56"/>
      <c r="Q123" s="56"/>
      <c r="R123" s="105"/>
      <c r="S123" s="56"/>
      <c r="T123" s="56"/>
      <c r="U123" s="56"/>
      <c r="V123" s="56"/>
      <c r="W123" s="56"/>
      <c r="X123" s="56"/>
      <c r="Y123" s="56"/>
      <c r="Z123" s="56"/>
    </row>
    <row r="124" spans="1:26" ht="15.75" customHeight="1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105"/>
      <c r="L124" s="56"/>
      <c r="M124" s="56"/>
      <c r="N124" s="56"/>
      <c r="O124" s="56"/>
      <c r="P124" s="56"/>
      <c r="Q124" s="56"/>
      <c r="R124" s="105"/>
      <c r="S124" s="56"/>
      <c r="T124" s="56"/>
      <c r="U124" s="56"/>
      <c r="V124" s="56"/>
      <c r="W124" s="56"/>
      <c r="X124" s="56"/>
      <c r="Y124" s="56"/>
      <c r="Z124" s="56"/>
    </row>
    <row r="125" spans="1:26" ht="15.75" customHeight="1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105"/>
      <c r="L125" s="56"/>
      <c r="M125" s="56"/>
      <c r="N125" s="56"/>
      <c r="O125" s="56"/>
      <c r="P125" s="56"/>
      <c r="Q125" s="56"/>
      <c r="R125" s="105"/>
      <c r="S125" s="56"/>
      <c r="T125" s="56"/>
      <c r="U125" s="56"/>
      <c r="V125" s="56"/>
      <c r="W125" s="56"/>
      <c r="X125" s="56"/>
      <c r="Y125" s="56"/>
      <c r="Z125" s="56"/>
    </row>
    <row r="126" spans="1:26" ht="15.75" customHeight="1">
      <c r="A126" s="56"/>
      <c r="B126" s="56"/>
      <c r="C126" s="56"/>
      <c r="D126" s="56"/>
      <c r="E126" s="56"/>
      <c r="F126" s="56"/>
      <c r="G126" s="56"/>
      <c r="H126" s="56"/>
      <c r="I126" s="56"/>
      <c r="J126" s="56"/>
      <c r="K126" s="105"/>
      <c r="L126" s="56"/>
      <c r="M126" s="56"/>
      <c r="N126" s="56"/>
      <c r="O126" s="56"/>
      <c r="P126" s="56"/>
      <c r="Q126" s="56"/>
      <c r="R126" s="105"/>
      <c r="S126" s="56"/>
      <c r="T126" s="56"/>
      <c r="U126" s="56"/>
      <c r="V126" s="56"/>
      <c r="W126" s="56"/>
      <c r="X126" s="56"/>
      <c r="Y126" s="56"/>
      <c r="Z126" s="56"/>
    </row>
    <row r="127" spans="1:26" ht="15.75" customHeight="1">
      <c r="A127" s="56"/>
      <c r="B127" s="56"/>
      <c r="C127" s="56"/>
      <c r="D127" s="56"/>
      <c r="E127" s="56"/>
      <c r="F127" s="56"/>
      <c r="G127" s="56"/>
      <c r="H127" s="56"/>
      <c r="I127" s="56"/>
      <c r="J127" s="56"/>
      <c r="K127" s="105"/>
      <c r="L127" s="56"/>
      <c r="M127" s="56"/>
      <c r="N127" s="56"/>
      <c r="O127" s="56"/>
      <c r="P127" s="56"/>
      <c r="Q127" s="56"/>
      <c r="R127" s="105"/>
      <c r="S127" s="56"/>
      <c r="T127" s="56"/>
      <c r="U127" s="56"/>
      <c r="V127" s="56"/>
      <c r="W127" s="56"/>
      <c r="X127" s="56"/>
      <c r="Y127" s="56"/>
      <c r="Z127" s="56"/>
    </row>
    <row r="128" spans="1:26" ht="15.75" customHeight="1">
      <c r="A128" s="56"/>
      <c r="B128" s="56"/>
      <c r="C128" s="56"/>
      <c r="D128" s="56"/>
      <c r="E128" s="56"/>
      <c r="F128" s="56"/>
      <c r="G128" s="56"/>
      <c r="H128" s="56"/>
      <c r="I128" s="56"/>
      <c r="J128" s="56"/>
      <c r="K128" s="105"/>
      <c r="L128" s="56"/>
      <c r="M128" s="56"/>
      <c r="N128" s="56"/>
      <c r="O128" s="56"/>
      <c r="P128" s="56"/>
      <c r="Q128" s="56"/>
      <c r="R128" s="105"/>
      <c r="S128" s="56"/>
      <c r="T128" s="56"/>
      <c r="U128" s="56"/>
      <c r="V128" s="56"/>
      <c r="W128" s="56"/>
      <c r="X128" s="56"/>
      <c r="Y128" s="56"/>
      <c r="Z128" s="56"/>
    </row>
    <row r="129" spans="1:26" ht="15.75" customHeight="1">
      <c r="A129" s="56"/>
      <c r="B129" s="56"/>
      <c r="C129" s="56"/>
      <c r="D129" s="56"/>
      <c r="E129" s="56"/>
      <c r="F129" s="56"/>
      <c r="G129" s="56"/>
      <c r="H129" s="56"/>
      <c r="I129" s="56"/>
      <c r="J129" s="56"/>
      <c r="K129" s="105"/>
      <c r="L129" s="56"/>
      <c r="M129" s="56"/>
      <c r="N129" s="56"/>
      <c r="O129" s="56"/>
      <c r="P129" s="56"/>
      <c r="Q129" s="56"/>
      <c r="R129" s="105"/>
      <c r="S129" s="56"/>
      <c r="T129" s="56"/>
      <c r="U129" s="56"/>
      <c r="V129" s="56"/>
      <c r="W129" s="56"/>
      <c r="X129" s="56"/>
      <c r="Y129" s="56"/>
      <c r="Z129" s="56"/>
    </row>
    <row r="130" spans="1:26" ht="15.75" customHeight="1">
      <c r="A130" s="56"/>
      <c r="B130" s="56"/>
      <c r="C130" s="56"/>
      <c r="D130" s="56"/>
      <c r="E130" s="56"/>
      <c r="F130" s="56"/>
      <c r="G130" s="56"/>
      <c r="H130" s="56"/>
      <c r="I130" s="56"/>
      <c r="J130" s="56"/>
      <c r="K130" s="105"/>
      <c r="L130" s="56"/>
      <c r="M130" s="56"/>
      <c r="N130" s="56"/>
      <c r="O130" s="56"/>
      <c r="P130" s="56"/>
      <c r="Q130" s="56"/>
      <c r="R130" s="105"/>
      <c r="S130" s="56"/>
      <c r="T130" s="56"/>
      <c r="U130" s="56"/>
      <c r="V130" s="56"/>
      <c r="W130" s="56"/>
      <c r="X130" s="56"/>
      <c r="Y130" s="56"/>
      <c r="Z130" s="56"/>
    </row>
    <row r="131" spans="1:26" ht="15.75" customHeight="1">
      <c r="A131" s="56"/>
      <c r="B131" s="56"/>
      <c r="C131" s="56"/>
      <c r="D131" s="56"/>
      <c r="E131" s="56"/>
      <c r="F131" s="56"/>
      <c r="G131" s="56"/>
      <c r="H131" s="56"/>
      <c r="I131" s="56"/>
      <c r="J131" s="56"/>
      <c r="K131" s="105"/>
      <c r="L131" s="56"/>
      <c r="M131" s="56"/>
      <c r="N131" s="56"/>
      <c r="O131" s="56"/>
      <c r="P131" s="56"/>
      <c r="Q131" s="56"/>
      <c r="R131" s="105"/>
      <c r="S131" s="56"/>
      <c r="T131" s="56"/>
      <c r="U131" s="56"/>
      <c r="V131" s="56"/>
      <c r="W131" s="56"/>
      <c r="X131" s="56"/>
      <c r="Y131" s="56"/>
      <c r="Z131" s="56"/>
    </row>
    <row r="132" spans="1:26" ht="15.75" customHeight="1">
      <c r="A132" s="56"/>
      <c r="B132" s="56"/>
      <c r="C132" s="56"/>
      <c r="D132" s="56"/>
      <c r="E132" s="56"/>
      <c r="F132" s="56"/>
      <c r="G132" s="56"/>
      <c r="H132" s="56"/>
      <c r="I132" s="56"/>
      <c r="J132" s="56"/>
      <c r="K132" s="105"/>
      <c r="L132" s="56"/>
      <c r="M132" s="56"/>
      <c r="N132" s="56"/>
      <c r="O132" s="56"/>
      <c r="P132" s="56"/>
      <c r="Q132" s="56"/>
      <c r="R132" s="105"/>
      <c r="S132" s="56"/>
      <c r="T132" s="56"/>
      <c r="U132" s="56"/>
      <c r="V132" s="56"/>
      <c r="W132" s="56"/>
      <c r="X132" s="56"/>
      <c r="Y132" s="56"/>
      <c r="Z132" s="56"/>
    </row>
    <row r="133" spans="1:26" ht="15.75" customHeight="1">
      <c r="A133" s="56"/>
      <c r="B133" s="56"/>
      <c r="C133" s="56"/>
      <c r="D133" s="56"/>
      <c r="E133" s="56"/>
      <c r="F133" s="56"/>
      <c r="G133" s="56"/>
      <c r="H133" s="56"/>
      <c r="I133" s="56"/>
      <c r="J133" s="56"/>
      <c r="K133" s="105"/>
      <c r="L133" s="56"/>
      <c r="M133" s="56"/>
      <c r="N133" s="56"/>
      <c r="O133" s="56"/>
      <c r="P133" s="56"/>
      <c r="Q133" s="56"/>
      <c r="R133" s="105"/>
      <c r="S133" s="56"/>
      <c r="T133" s="56"/>
      <c r="U133" s="56"/>
      <c r="V133" s="56"/>
      <c r="W133" s="56"/>
      <c r="X133" s="56"/>
      <c r="Y133" s="56"/>
      <c r="Z133" s="56"/>
    </row>
    <row r="134" spans="1:26" ht="15.75" customHeight="1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105"/>
      <c r="L134" s="56"/>
      <c r="M134" s="56"/>
      <c r="N134" s="56"/>
      <c r="O134" s="56"/>
      <c r="P134" s="56"/>
      <c r="Q134" s="56"/>
      <c r="R134" s="105"/>
      <c r="S134" s="56"/>
      <c r="T134" s="56"/>
      <c r="U134" s="56"/>
      <c r="V134" s="56"/>
      <c r="W134" s="56"/>
      <c r="X134" s="56"/>
      <c r="Y134" s="56"/>
      <c r="Z134" s="56"/>
    </row>
    <row r="135" spans="1:26" ht="15.75" customHeight="1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105"/>
      <c r="L135" s="56"/>
      <c r="M135" s="56"/>
      <c r="N135" s="56"/>
      <c r="O135" s="56"/>
      <c r="P135" s="56"/>
      <c r="Q135" s="56"/>
      <c r="R135" s="105"/>
      <c r="S135" s="56"/>
      <c r="T135" s="56"/>
      <c r="U135" s="56"/>
      <c r="V135" s="56"/>
      <c r="W135" s="56"/>
      <c r="X135" s="56"/>
      <c r="Y135" s="56"/>
      <c r="Z135" s="56"/>
    </row>
    <row r="136" spans="1:26" ht="15.75" customHeight="1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105"/>
      <c r="L136" s="56"/>
      <c r="M136" s="56"/>
      <c r="N136" s="56"/>
      <c r="O136" s="56"/>
      <c r="P136" s="56"/>
      <c r="Q136" s="56"/>
      <c r="R136" s="105"/>
      <c r="S136" s="56"/>
      <c r="T136" s="56"/>
      <c r="U136" s="56"/>
      <c r="V136" s="56"/>
      <c r="W136" s="56"/>
      <c r="X136" s="56"/>
      <c r="Y136" s="56"/>
      <c r="Z136" s="56"/>
    </row>
    <row r="137" spans="1:26" ht="15.75" customHeight="1">
      <c r="A137" s="56"/>
      <c r="B137" s="56"/>
      <c r="C137" s="56"/>
      <c r="D137" s="56"/>
      <c r="E137" s="56"/>
      <c r="F137" s="56"/>
      <c r="G137" s="56"/>
      <c r="H137" s="56"/>
      <c r="I137" s="56"/>
      <c r="J137" s="56"/>
      <c r="K137" s="105"/>
      <c r="L137" s="56"/>
      <c r="M137" s="56"/>
      <c r="N137" s="56"/>
      <c r="O137" s="56"/>
      <c r="P137" s="56"/>
      <c r="Q137" s="56"/>
      <c r="R137" s="105"/>
      <c r="S137" s="56"/>
      <c r="T137" s="56"/>
      <c r="U137" s="56"/>
      <c r="V137" s="56"/>
      <c r="W137" s="56"/>
      <c r="X137" s="56"/>
      <c r="Y137" s="56"/>
      <c r="Z137" s="56"/>
    </row>
    <row r="138" spans="1:26" ht="15.75" customHeight="1">
      <c r="A138" s="56"/>
      <c r="B138" s="56"/>
      <c r="C138" s="56"/>
      <c r="D138" s="56"/>
      <c r="E138" s="56"/>
      <c r="F138" s="56"/>
      <c r="G138" s="56"/>
      <c r="H138" s="56"/>
      <c r="I138" s="56"/>
      <c r="J138" s="56"/>
      <c r="K138" s="105"/>
      <c r="L138" s="56"/>
      <c r="M138" s="56"/>
      <c r="N138" s="56"/>
      <c r="O138" s="56"/>
      <c r="P138" s="56"/>
      <c r="Q138" s="56"/>
      <c r="R138" s="105"/>
      <c r="S138" s="56"/>
      <c r="T138" s="56"/>
      <c r="U138" s="56"/>
      <c r="V138" s="56"/>
      <c r="W138" s="56"/>
      <c r="X138" s="56"/>
      <c r="Y138" s="56"/>
      <c r="Z138" s="56"/>
    </row>
    <row r="139" spans="1:26" ht="15.75" customHeight="1">
      <c r="A139" s="56"/>
      <c r="B139" s="56"/>
      <c r="C139" s="56"/>
      <c r="D139" s="56"/>
      <c r="E139" s="56"/>
      <c r="F139" s="56"/>
      <c r="G139" s="56"/>
      <c r="H139" s="56"/>
      <c r="I139" s="56"/>
      <c r="J139" s="56"/>
      <c r="K139" s="105"/>
      <c r="L139" s="56"/>
      <c r="M139" s="56"/>
      <c r="N139" s="56"/>
      <c r="O139" s="56"/>
      <c r="P139" s="56"/>
      <c r="Q139" s="56"/>
      <c r="R139" s="105"/>
      <c r="S139" s="56"/>
      <c r="T139" s="56"/>
      <c r="U139" s="56"/>
      <c r="V139" s="56"/>
      <c r="W139" s="56"/>
      <c r="X139" s="56"/>
      <c r="Y139" s="56"/>
      <c r="Z139" s="56"/>
    </row>
    <row r="140" spans="1:26" ht="15.75" customHeight="1">
      <c r="A140" s="56"/>
      <c r="B140" s="56"/>
      <c r="C140" s="56"/>
      <c r="D140" s="56"/>
      <c r="E140" s="56"/>
      <c r="F140" s="56"/>
      <c r="G140" s="56"/>
      <c r="H140" s="56"/>
      <c r="I140" s="56"/>
      <c r="J140" s="56"/>
      <c r="K140" s="105"/>
      <c r="L140" s="56"/>
      <c r="M140" s="56"/>
      <c r="N140" s="56"/>
      <c r="O140" s="56"/>
      <c r="P140" s="56"/>
      <c r="Q140" s="56"/>
      <c r="R140" s="105"/>
      <c r="S140" s="56"/>
      <c r="T140" s="56"/>
      <c r="U140" s="56"/>
      <c r="V140" s="56"/>
      <c r="W140" s="56"/>
      <c r="X140" s="56"/>
      <c r="Y140" s="56"/>
      <c r="Z140" s="56"/>
    </row>
    <row r="141" spans="1:26" ht="15.75" customHeight="1">
      <c r="A141" s="56"/>
      <c r="B141" s="56"/>
      <c r="C141" s="56"/>
      <c r="D141" s="56"/>
      <c r="E141" s="56"/>
      <c r="F141" s="56"/>
      <c r="G141" s="56"/>
      <c r="H141" s="56"/>
      <c r="I141" s="56"/>
      <c r="J141" s="56"/>
      <c r="K141" s="105"/>
      <c r="L141" s="56"/>
      <c r="M141" s="56"/>
      <c r="N141" s="56"/>
      <c r="O141" s="56"/>
      <c r="P141" s="56"/>
      <c r="Q141" s="56"/>
      <c r="R141" s="105"/>
      <c r="S141" s="56"/>
      <c r="T141" s="56"/>
      <c r="U141" s="56"/>
      <c r="V141" s="56"/>
      <c r="W141" s="56"/>
      <c r="X141" s="56"/>
      <c r="Y141" s="56"/>
      <c r="Z141" s="56"/>
    </row>
    <row r="142" spans="1:26" ht="15.75" customHeight="1">
      <c r="A142" s="56"/>
      <c r="B142" s="56"/>
      <c r="C142" s="56"/>
      <c r="D142" s="56"/>
      <c r="E142" s="56"/>
      <c r="F142" s="56"/>
      <c r="G142" s="56"/>
      <c r="H142" s="56"/>
      <c r="I142" s="56"/>
      <c r="J142" s="56"/>
      <c r="K142" s="105"/>
      <c r="L142" s="56"/>
      <c r="M142" s="56"/>
      <c r="N142" s="56"/>
      <c r="O142" s="56"/>
      <c r="P142" s="56"/>
      <c r="Q142" s="56"/>
      <c r="R142" s="105"/>
      <c r="S142" s="56"/>
      <c r="T142" s="56"/>
      <c r="U142" s="56"/>
      <c r="V142" s="56"/>
      <c r="W142" s="56"/>
      <c r="X142" s="56"/>
      <c r="Y142" s="56"/>
      <c r="Z142" s="56"/>
    </row>
    <row r="143" spans="1:26" ht="15.75" customHeight="1">
      <c r="A143" s="56"/>
      <c r="B143" s="56"/>
      <c r="C143" s="56"/>
      <c r="D143" s="56"/>
      <c r="E143" s="56"/>
      <c r="F143" s="56"/>
      <c r="G143" s="56"/>
      <c r="H143" s="56"/>
      <c r="I143" s="56"/>
      <c r="J143" s="56"/>
      <c r="K143" s="105"/>
      <c r="L143" s="56"/>
      <c r="M143" s="56"/>
      <c r="N143" s="56"/>
      <c r="O143" s="56"/>
      <c r="P143" s="56"/>
      <c r="Q143" s="56"/>
      <c r="R143" s="105"/>
      <c r="S143" s="56"/>
      <c r="T143" s="56"/>
      <c r="U143" s="56"/>
      <c r="V143" s="56"/>
      <c r="W143" s="56"/>
      <c r="X143" s="56"/>
      <c r="Y143" s="56"/>
      <c r="Z143" s="56"/>
    </row>
    <row r="144" spans="1:26" ht="15.75" customHeight="1">
      <c r="A144" s="56"/>
      <c r="B144" s="56"/>
      <c r="C144" s="56"/>
      <c r="D144" s="56"/>
      <c r="E144" s="56"/>
      <c r="F144" s="56"/>
      <c r="G144" s="56"/>
      <c r="H144" s="56"/>
      <c r="I144" s="56"/>
      <c r="J144" s="56"/>
      <c r="K144" s="105"/>
      <c r="L144" s="56"/>
      <c r="M144" s="56"/>
      <c r="N144" s="56"/>
      <c r="O144" s="56"/>
      <c r="P144" s="56"/>
      <c r="Q144" s="56"/>
      <c r="R144" s="105"/>
      <c r="S144" s="56"/>
      <c r="T144" s="56"/>
      <c r="U144" s="56"/>
      <c r="V144" s="56"/>
      <c r="W144" s="56"/>
      <c r="X144" s="56"/>
      <c r="Y144" s="56"/>
      <c r="Z144" s="56"/>
    </row>
    <row r="145" spans="1:26" ht="15.75" customHeight="1">
      <c r="A145" s="56"/>
      <c r="B145" s="56"/>
      <c r="C145" s="56"/>
      <c r="D145" s="56"/>
      <c r="E145" s="56"/>
      <c r="F145" s="56"/>
      <c r="G145" s="56"/>
      <c r="H145" s="56"/>
      <c r="I145" s="56"/>
      <c r="J145" s="56"/>
      <c r="K145" s="105"/>
      <c r="L145" s="56"/>
      <c r="M145" s="56"/>
      <c r="N145" s="56"/>
      <c r="O145" s="56"/>
      <c r="P145" s="56"/>
      <c r="Q145" s="56"/>
      <c r="R145" s="105"/>
      <c r="S145" s="56"/>
      <c r="T145" s="56"/>
      <c r="U145" s="56"/>
      <c r="V145" s="56"/>
      <c r="W145" s="56"/>
      <c r="X145" s="56"/>
      <c r="Y145" s="56"/>
      <c r="Z145" s="56"/>
    </row>
    <row r="146" spans="1:26" ht="15.75" customHeight="1">
      <c r="A146" s="56"/>
      <c r="B146" s="56"/>
      <c r="C146" s="56"/>
      <c r="D146" s="56"/>
      <c r="E146" s="56"/>
      <c r="F146" s="56"/>
      <c r="G146" s="56"/>
      <c r="H146" s="56"/>
      <c r="I146" s="56"/>
      <c r="J146" s="56"/>
      <c r="K146" s="105"/>
      <c r="L146" s="56"/>
      <c r="M146" s="56"/>
      <c r="N146" s="56"/>
      <c r="O146" s="56"/>
      <c r="P146" s="56"/>
      <c r="Q146" s="56"/>
      <c r="R146" s="105"/>
      <c r="S146" s="56"/>
      <c r="T146" s="56"/>
      <c r="U146" s="56"/>
      <c r="V146" s="56"/>
      <c r="W146" s="56"/>
      <c r="X146" s="56"/>
      <c r="Y146" s="56"/>
      <c r="Z146" s="56"/>
    </row>
    <row r="147" spans="1:26" ht="15.75" customHeight="1">
      <c r="A147" s="56"/>
      <c r="B147" s="56"/>
      <c r="C147" s="56"/>
      <c r="D147" s="56"/>
      <c r="E147" s="56"/>
      <c r="F147" s="56"/>
      <c r="G147" s="56"/>
      <c r="H147" s="56"/>
      <c r="I147" s="56"/>
      <c r="J147" s="56"/>
      <c r="K147" s="105"/>
      <c r="L147" s="56"/>
      <c r="M147" s="56"/>
      <c r="N147" s="56"/>
      <c r="O147" s="56"/>
      <c r="P147" s="56"/>
      <c r="Q147" s="56"/>
      <c r="R147" s="105"/>
      <c r="S147" s="56"/>
      <c r="T147" s="56"/>
      <c r="U147" s="56"/>
      <c r="V147" s="56"/>
      <c r="W147" s="56"/>
      <c r="X147" s="56"/>
      <c r="Y147" s="56"/>
      <c r="Z147" s="56"/>
    </row>
    <row r="148" spans="1:26" ht="15.75" customHeight="1">
      <c r="A148" s="56"/>
      <c r="B148" s="56"/>
      <c r="C148" s="56"/>
      <c r="D148" s="56"/>
      <c r="E148" s="56"/>
      <c r="F148" s="56"/>
      <c r="G148" s="56"/>
      <c r="H148" s="56"/>
      <c r="I148" s="56"/>
      <c r="J148" s="56"/>
      <c r="K148" s="105"/>
      <c r="L148" s="56"/>
      <c r="M148" s="56"/>
      <c r="N148" s="56"/>
      <c r="O148" s="56"/>
      <c r="P148" s="56"/>
      <c r="Q148" s="56"/>
      <c r="R148" s="105"/>
      <c r="S148" s="56"/>
      <c r="T148" s="56"/>
      <c r="U148" s="56"/>
      <c r="V148" s="56"/>
      <c r="W148" s="56"/>
      <c r="X148" s="56"/>
      <c r="Y148" s="56"/>
      <c r="Z148" s="56"/>
    </row>
    <row r="149" spans="1:26" ht="15.75" customHeight="1">
      <c r="A149" s="56"/>
      <c r="B149" s="56"/>
      <c r="C149" s="56"/>
      <c r="D149" s="56"/>
      <c r="E149" s="56"/>
      <c r="F149" s="56"/>
      <c r="G149" s="56"/>
      <c r="H149" s="56"/>
      <c r="I149" s="56"/>
      <c r="J149" s="56"/>
      <c r="K149" s="105"/>
      <c r="L149" s="56"/>
      <c r="M149" s="56"/>
      <c r="N149" s="56"/>
      <c r="O149" s="56"/>
      <c r="P149" s="56"/>
      <c r="Q149" s="56"/>
      <c r="R149" s="105"/>
      <c r="S149" s="56"/>
      <c r="T149" s="56"/>
      <c r="U149" s="56"/>
      <c r="V149" s="56"/>
      <c r="W149" s="56"/>
      <c r="X149" s="56"/>
      <c r="Y149" s="56"/>
      <c r="Z149" s="56"/>
    </row>
    <row r="150" spans="1:26" ht="15.75" customHeight="1">
      <c r="A150" s="56"/>
      <c r="B150" s="56"/>
      <c r="C150" s="56"/>
      <c r="D150" s="56"/>
      <c r="E150" s="56"/>
      <c r="F150" s="56"/>
      <c r="G150" s="56"/>
      <c r="H150" s="56"/>
      <c r="I150" s="56"/>
      <c r="J150" s="56"/>
      <c r="K150" s="105"/>
      <c r="L150" s="56"/>
      <c r="M150" s="56"/>
      <c r="N150" s="56"/>
      <c r="O150" s="56"/>
      <c r="P150" s="56"/>
      <c r="Q150" s="56"/>
      <c r="R150" s="105"/>
      <c r="S150" s="56"/>
      <c r="T150" s="56"/>
      <c r="U150" s="56"/>
      <c r="V150" s="56"/>
      <c r="W150" s="56"/>
      <c r="X150" s="56"/>
      <c r="Y150" s="56"/>
      <c r="Z150" s="56"/>
    </row>
    <row r="151" spans="1:26" ht="15.75" customHeight="1">
      <c r="A151" s="56"/>
      <c r="B151" s="56"/>
      <c r="C151" s="56"/>
      <c r="D151" s="56"/>
      <c r="E151" s="56"/>
      <c r="F151" s="56"/>
      <c r="G151" s="56"/>
      <c r="H151" s="56"/>
      <c r="I151" s="56"/>
      <c r="J151" s="56"/>
      <c r="K151" s="105"/>
      <c r="L151" s="56"/>
      <c r="M151" s="56"/>
      <c r="N151" s="56"/>
      <c r="O151" s="56"/>
      <c r="P151" s="56"/>
      <c r="Q151" s="56"/>
      <c r="R151" s="105"/>
      <c r="S151" s="56"/>
      <c r="T151" s="56"/>
      <c r="U151" s="56"/>
      <c r="V151" s="56"/>
      <c r="W151" s="56"/>
      <c r="X151" s="56"/>
      <c r="Y151" s="56"/>
      <c r="Z151" s="56"/>
    </row>
    <row r="152" spans="1:26" ht="15.75" customHeight="1">
      <c r="A152" s="56"/>
      <c r="B152" s="56"/>
      <c r="C152" s="56"/>
      <c r="D152" s="56"/>
      <c r="E152" s="56"/>
      <c r="F152" s="56"/>
      <c r="G152" s="56"/>
      <c r="H152" s="56"/>
      <c r="I152" s="56"/>
      <c r="J152" s="56"/>
      <c r="K152" s="105"/>
      <c r="L152" s="56"/>
      <c r="M152" s="56"/>
      <c r="N152" s="56"/>
      <c r="O152" s="56"/>
      <c r="P152" s="56"/>
      <c r="Q152" s="56"/>
      <c r="R152" s="105"/>
      <c r="S152" s="56"/>
      <c r="T152" s="56"/>
      <c r="U152" s="56"/>
      <c r="V152" s="56"/>
      <c r="W152" s="56"/>
      <c r="X152" s="56"/>
      <c r="Y152" s="56"/>
      <c r="Z152" s="56"/>
    </row>
    <row r="153" spans="1:26" ht="15.75" customHeight="1">
      <c r="A153" s="56"/>
      <c r="B153" s="56"/>
      <c r="C153" s="56"/>
      <c r="D153" s="56"/>
      <c r="E153" s="56"/>
      <c r="F153" s="56"/>
      <c r="G153" s="56"/>
      <c r="H153" s="56"/>
      <c r="I153" s="56"/>
      <c r="J153" s="56"/>
      <c r="K153" s="105"/>
      <c r="L153" s="56"/>
      <c r="M153" s="56"/>
      <c r="N153" s="56"/>
      <c r="O153" s="56"/>
      <c r="P153" s="56"/>
      <c r="Q153" s="56"/>
      <c r="R153" s="105"/>
      <c r="S153" s="56"/>
      <c r="T153" s="56"/>
      <c r="U153" s="56"/>
      <c r="V153" s="56"/>
      <c r="W153" s="56"/>
      <c r="X153" s="56"/>
      <c r="Y153" s="56"/>
      <c r="Z153" s="56"/>
    </row>
    <row r="154" spans="1:26" ht="15.75" customHeight="1">
      <c r="A154" s="56"/>
      <c r="B154" s="56"/>
      <c r="C154" s="56"/>
      <c r="D154" s="56"/>
      <c r="E154" s="56"/>
      <c r="F154" s="56"/>
      <c r="G154" s="56"/>
      <c r="H154" s="56"/>
      <c r="I154" s="56"/>
      <c r="J154" s="56"/>
      <c r="K154" s="105"/>
      <c r="L154" s="56"/>
      <c r="M154" s="56"/>
      <c r="N154" s="56"/>
      <c r="O154" s="56"/>
      <c r="P154" s="56"/>
      <c r="Q154" s="56"/>
      <c r="R154" s="105"/>
      <c r="S154" s="56"/>
      <c r="T154" s="56"/>
      <c r="U154" s="56"/>
      <c r="V154" s="56"/>
      <c r="W154" s="56"/>
      <c r="X154" s="56"/>
      <c r="Y154" s="56"/>
      <c r="Z154" s="56"/>
    </row>
    <row r="155" spans="1:26" ht="15.75" customHeight="1">
      <c r="A155" s="56"/>
      <c r="B155" s="56"/>
      <c r="C155" s="56"/>
      <c r="D155" s="56"/>
      <c r="E155" s="56"/>
      <c r="F155" s="56"/>
      <c r="G155" s="56"/>
      <c r="H155" s="56"/>
      <c r="I155" s="56"/>
      <c r="J155" s="56"/>
      <c r="K155" s="105"/>
      <c r="L155" s="56"/>
      <c r="M155" s="56"/>
      <c r="N155" s="56"/>
      <c r="O155" s="56"/>
      <c r="P155" s="56"/>
      <c r="Q155" s="56"/>
      <c r="R155" s="105"/>
      <c r="S155" s="56"/>
      <c r="T155" s="56"/>
      <c r="U155" s="56"/>
      <c r="V155" s="56"/>
      <c r="W155" s="56"/>
      <c r="X155" s="56"/>
      <c r="Y155" s="56"/>
      <c r="Z155" s="56"/>
    </row>
    <row r="156" spans="1:26" ht="15.75" customHeight="1">
      <c r="A156" s="56"/>
      <c r="B156" s="56"/>
      <c r="C156" s="56"/>
      <c r="D156" s="56"/>
      <c r="E156" s="56"/>
      <c r="F156" s="56"/>
      <c r="G156" s="56"/>
      <c r="H156" s="56"/>
      <c r="I156" s="56"/>
      <c r="J156" s="56"/>
      <c r="K156" s="105"/>
      <c r="L156" s="56"/>
      <c r="M156" s="56"/>
      <c r="N156" s="56"/>
      <c r="O156" s="56"/>
      <c r="P156" s="56"/>
      <c r="Q156" s="56"/>
      <c r="R156" s="105"/>
      <c r="S156" s="56"/>
      <c r="T156" s="56"/>
      <c r="U156" s="56"/>
      <c r="V156" s="56"/>
      <c r="W156" s="56"/>
      <c r="X156" s="56"/>
      <c r="Y156" s="56"/>
      <c r="Z156" s="56"/>
    </row>
    <row r="157" spans="1:26" ht="15.75" customHeight="1">
      <c r="A157" s="56"/>
      <c r="B157" s="56"/>
      <c r="C157" s="56"/>
      <c r="D157" s="56"/>
      <c r="E157" s="56"/>
      <c r="F157" s="56"/>
      <c r="G157" s="56"/>
      <c r="H157" s="56"/>
      <c r="I157" s="56"/>
      <c r="J157" s="56"/>
      <c r="K157" s="105"/>
      <c r="L157" s="56"/>
      <c r="M157" s="56"/>
      <c r="N157" s="56"/>
      <c r="O157" s="56"/>
      <c r="P157" s="56"/>
      <c r="Q157" s="56"/>
      <c r="R157" s="105"/>
      <c r="S157" s="56"/>
      <c r="T157" s="56"/>
      <c r="U157" s="56"/>
      <c r="V157" s="56"/>
      <c r="W157" s="56"/>
      <c r="X157" s="56"/>
      <c r="Y157" s="56"/>
      <c r="Z157" s="56"/>
    </row>
    <row r="158" spans="1:26" ht="15.75" customHeight="1">
      <c r="A158" s="56"/>
      <c r="B158" s="56"/>
      <c r="C158" s="56"/>
      <c r="D158" s="56"/>
      <c r="E158" s="56"/>
      <c r="F158" s="56"/>
      <c r="G158" s="56"/>
      <c r="H158" s="56"/>
      <c r="I158" s="56"/>
      <c r="J158" s="56"/>
      <c r="K158" s="105"/>
      <c r="L158" s="56"/>
      <c r="M158" s="56"/>
      <c r="N158" s="56"/>
      <c r="O158" s="56"/>
      <c r="P158" s="56"/>
      <c r="Q158" s="56"/>
      <c r="R158" s="105"/>
      <c r="S158" s="56"/>
      <c r="T158" s="56"/>
      <c r="U158" s="56"/>
      <c r="V158" s="56"/>
      <c r="W158" s="56"/>
      <c r="X158" s="56"/>
      <c r="Y158" s="56"/>
      <c r="Z158" s="56"/>
    </row>
    <row r="159" spans="1:26" ht="15.75" customHeight="1">
      <c r="A159" s="56"/>
      <c r="B159" s="56"/>
      <c r="C159" s="56"/>
      <c r="D159" s="56"/>
      <c r="E159" s="56"/>
      <c r="F159" s="56"/>
      <c r="G159" s="56"/>
      <c r="H159" s="56"/>
      <c r="I159" s="56"/>
      <c r="J159" s="56"/>
      <c r="K159" s="105"/>
      <c r="L159" s="56"/>
      <c r="M159" s="56"/>
      <c r="N159" s="56"/>
      <c r="O159" s="56"/>
      <c r="P159" s="56"/>
      <c r="Q159" s="56"/>
      <c r="R159" s="105"/>
      <c r="S159" s="56"/>
      <c r="T159" s="56"/>
      <c r="U159" s="56"/>
      <c r="V159" s="56"/>
      <c r="W159" s="56"/>
      <c r="X159" s="56"/>
      <c r="Y159" s="56"/>
      <c r="Z159" s="56"/>
    </row>
    <row r="160" spans="1:26" ht="15.75" customHeight="1">
      <c r="A160" s="56"/>
      <c r="B160" s="56"/>
      <c r="C160" s="56"/>
      <c r="D160" s="56"/>
      <c r="E160" s="56"/>
      <c r="F160" s="56"/>
      <c r="G160" s="56"/>
      <c r="H160" s="56"/>
      <c r="I160" s="56"/>
      <c r="J160" s="56"/>
      <c r="K160" s="105"/>
      <c r="L160" s="56"/>
      <c r="M160" s="56"/>
      <c r="N160" s="56"/>
      <c r="O160" s="56"/>
      <c r="P160" s="56"/>
      <c r="Q160" s="56"/>
      <c r="R160" s="105"/>
      <c r="S160" s="56"/>
      <c r="T160" s="56"/>
      <c r="U160" s="56"/>
      <c r="V160" s="56"/>
      <c r="W160" s="56"/>
      <c r="X160" s="56"/>
      <c r="Y160" s="56"/>
      <c r="Z160" s="56"/>
    </row>
    <row r="161" spans="1:26" ht="15.75" customHeight="1">
      <c r="A161" s="56"/>
      <c r="B161" s="56"/>
      <c r="C161" s="56"/>
      <c r="D161" s="56"/>
      <c r="E161" s="56"/>
      <c r="F161" s="56"/>
      <c r="G161" s="56"/>
      <c r="H161" s="56"/>
      <c r="I161" s="56"/>
      <c r="J161" s="56"/>
      <c r="K161" s="105"/>
      <c r="L161" s="56"/>
      <c r="M161" s="56"/>
      <c r="N161" s="56"/>
      <c r="O161" s="56"/>
      <c r="P161" s="56"/>
      <c r="Q161" s="56"/>
      <c r="R161" s="105"/>
      <c r="S161" s="56"/>
      <c r="T161" s="56"/>
      <c r="U161" s="56"/>
      <c r="V161" s="56"/>
      <c r="W161" s="56"/>
      <c r="X161" s="56"/>
      <c r="Y161" s="56"/>
      <c r="Z161" s="56"/>
    </row>
    <row r="162" spans="1:26" ht="15.75" customHeight="1">
      <c r="A162" s="56"/>
      <c r="B162" s="56"/>
      <c r="C162" s="56"/>
      <c r="D162" s="56"/>
      <c r="E162" s="56"/>
      <c r="F162" s="56"/>
      <c r="G162" s="56"/>
      <c r="H162" s="56"/>
      <c r="I162" s="56"/>
      <c r="J162" s="56"/>
      <c r="K162" s="105"/>
      <c r="L162" s="56"/>
      <c r="M162" s="56"/>
      <c r="N162" s="56"/>
      <c r="O162" s="56"/>
      <c r="P162" s="56"/>
      <c r="Q162" s="56"/>
      <c r="R162" s="105"/>
      <c r="S162" s="56"/>
      <c r="T162" s="56"/>
      <c r="U162" s="56"/>
      <c r="V162" s="56"/>
      <c r="W162" s="56"/>
      <c r="X162" s="56"/>
      <c r="Y162" s="56"/>
      <c r="Z162" s="56"/>
    </row>
    <row r="163" spans="1:26" ht="15.75" customHeight="1">
      <c r="A163" s="56"/>
      <c r="B163" s="56"/>
      <c r="C163" s="56"/>
      <c r="D163" s="56"/>
      <c r="E163" s="56"/>
      <c r="F163" s="56"/>
      <c r="G163" s="56"/>
      <c r="H163" s="56"/>
      <c r="I163" s="56"/>
      <c r="J163" s="56"/>
      <c r="K163" s="105"/>
      <c r="L163" s="56"/>
      <c r="M163" s="56"/>
      <c r="N163" s="56"/>
      <c r="O163" s="56"/>
      <c r="P163" s="56"/>
      <c r="Q163" s="56"/>
      <c r="R163" s="105"/>
      <c r="S163" s="56"/>
      <c r="T163" s="56"/>
      <c r="U163" s="56"/>
      <c r="V163" s="56"/>
      <c r="W163" s="56"/>
      <c r="X163" s="56"/>
      <c r="Y163" s="56"/>
      <c r="Z163" s="56"/>
    </row>
    <row r="164" spans="1:26" ht="15.75" customHeight="1">
      <c r="A164" s="56"/>
      <c r="B164" s="56"/>
      <c r="C164" s="56"/>
      <c r="D164" s="56"/>
      <c r="E164" s="56"/>
      <c r="F164" s="56"/>
      <c r="G164" s="56"/>
      <c r="H164" s="56"/>
      <c r="I164" s="56"/>
      <c r="J164" s="56"/>
      <c r="K164" s="105"/>
      <c r="L164" s="56"/>
      <c r="M164" s="56"/>
      <c r="N164" s="56"/>
      <c r="O164" s="56"/>
      <c r="P164" s="56"/>
      <c r="Q164" s="56"/>
      <c r="R164" s="105"/>
      <c r="S164" s="56"/>
      <c r="T164" s="56"/>
      <c r="U164" s="56"/>
      <c r="V164" s="56"/>
      <c r="W164" s="56"/>
      <c r="X164" s="56"/>
      <c r="Y164" s="56"/>
      <c r="Z164" s="56"/>
    </row>
    <row r="165" spans="1:26" ht="15.75" customHeight="1">
      <c r="A165" s="56"/>
      <c r="B165" s="56"/>
      <c r="C165" s="56"/>
      <c r="D165" s="56"/>
      <c r="E165" s="56"/>
      <c r="F165" s="56"/>
      <c r="G165" s="56"/>
      <c r="H165" s="56"/>
      <c r="I165" s="56"/>
      <c r="J165" s="56"/>
      <c r="K165" s="105"/>
      <c r="L165" s="56"/>
      <c r="M165" s="56"/>
      <c r="N165" s="56"/>
      <c r="O165" s="56"/>
      <c r="P165" s="56"/>
      <c r="Q165" s="56"/>
      <c r="R165" s="105"/>
      <c r="S165" s="56"/>
      <c r="T165" s="56"/>
      <c r="U165" s="56"/>
      <c r="V165" s="56"/>
      <c r="W165" s="56"/>
      <c r="X165" s="56"/>
      <c r="Y165" s="56"/>
      <c r="Z165" s="56"/>
    </row>
    <row r="166" spans="1:26" ht="15.75" customHeight="1">
      <c r="A166" s="56"/>
      <c r="B166" s="56"/>
      <c r="C166" s="56"/>
      <c r="D166" s="56"/>
      <c r="E166" s="56"/>
      <c r="F166" s="56"/>
      <c r="G166" s="56"/>
      <c r="H166" s="56"/>
      <c r="I166" s="56"/>
      <c r="J166" s="56"/>
      <c r="K166" s="105"/>
      <c r="L166" s="56"/>
      <c r="M166" s="56"/>
      <c r="N166" s="56"/>
      <c r="O166" s="56"/>
      <c r="P166" s="56"/>
      <c r="Q166" s="56"/>
      <c r="R166" s="105"/>
      <c r="S166" s="56"/>
      <c r="T166" s="56"/>
      <c r="U166" s="56"/>
      <c r="V166" s="56"/>
      <c r="W166" s="56"/>
      <c r="X166" s="56"/>
      <c r="Y166" s="56"/>
      <c r="Z166" s="56"/>
    </row>
    <row r="167" spans="1:26" ht="15.75" customHeight="1">
      <c r="A167" s="56"/>
      <c r="B167" s="56"/>
      <c r="C167" s="56"/>
      <c r="D167" s="56"/>
      <c r="E167" s="56"/>
      <c r="F167" s="56"/>
      <c r="G167" s="56"/>
      <c r="H167" s="56"/>
      <c r="I167" s="56"/>
      <c r="J167" s="56"/>
      <c r="K167" s="105"/>
      <c r="L167" s="56"/>
      <c r="M167" s="56"/>
      <c r="N167" s="56"/>
      <c r="O167" s="56"/>
      <c r="P167" s="56"/>
      <c r="Q167" s="56"/>
      <c r="R167" s="105"/>
      <c r="S167" s="56"/>
      <c r="T167" s="56"/>
      <c r="U167" s="56"/>
      <c r="V167" s="56"/>
      <c r="W167" s="56"/>
      <c r="X167" s="56"/>
      <c r="Y167" s="56"/>
      <c r="Z167" s="56"/>
    </row>
    <row r="168" spans="1:26" ht="15.75" customHeight="1">
      <c r="A168" s="56"/>
      <c r="B168" s="56"/>
      <c r="C168" s="56"/>
      <c r="D168" s="56"/>
      <c r="E168" s="56"/>
      <c r="F168" s="56"/>
      <c r="G168" s="56"/>
      <c r="H168" s="56"/>
      <c r="I168" s="56"/>
      <c r="J168" s="56"/>
      <c r="K168" s="105"/>
      <c r="L168" s="56"/>
      <c r="M168" s="56"/>
      <c r="N168" s="56"/>
      <c r="O168" s="56"/>
      <c r="P168" s="56"/>
      <c r="Q168" s="56"/>
      <c r="R168" s="105"/>
      <c r="S168" s="56"/>
      <c r="T168" s="56"/>
      <c r="U168" s="56"/>
      <c r="V168" s="56"/>
      <c r="W168" s="56"/>
      <c r="X168" s="56"/>
      <c r="Y168" s="56"/>
      <c r="Z168" s="56"/>
    </row>
    <row r="169" spans="1:26" ht="15.75" customHeight="1">
      <c r="A169" s="56"/>
      <c r="B169" s="56"/>
      <c r="C169" s="56"/>
      <c r="D169" s="56"/>
      <c r="E169" s="56"/>
      <c r="F169" s="56"/>
      <c r="G169" s="56"/>
      <c r="H169" s="56"/>
      <c r="I169" s="56"/>
      <c r="J169" s="56"/>
      <c r="K169" s="105"/>
      <c r="L169" s="56"/>
      <c r="M169" s="56"/>
      <c r="N169" s="56"/>
      <c r="O169" s="56"/>
      <c r="P169" s="56"/>
      <c r="Q169" s="56"/>
      <c r="R169" s="105"/>
      <c r="S169" s="56"/>
      <c r="T169" s="56"/>
      <c r="U169" s="56"/>
      <c r="V169" s="56"/>
      <c r="W169" s="56"/>
      <c r="X169" s="56"/>
      <c r="Y169" s="56"/>
      <c r="Z169" s="56"/>
    </row>
    <row r="170" spans="1:26" ht="15.75" customHeight="1">
      <c r="A170" s="56"/>
      <c r="B170" s="56"/>
      <c r="C170" s="56"/>
      <c r="D170" s="56"/>
      <c r="E170" s="56"/>
      <c r="F170" s="56"/>
      <c r="G170" s="56"/>
      <c r="H170" s="56"/>
      <c r="I170" s="56"/>
      <c r="J170" s="56"/>
      <c r="K170" s="105"/>
      <c r="L170" s="56"/>
      <c r="M170" s="56"/>
      <c r="N170" s="56"/>
      <c r="O170" s="56"/>
      <c r="P170" s="56"/>
      <c r="Q170" s="56"/>
      <c r="R170" s="105"/>
      <c r="S170" s="56"/>
      <c r="T170" s="56"/>
      <c r="U170" s="56"/>
      <c r="V170" s="56"/>
      <c r="W170" s="56"/>
      <c r="X170" s="56"/>
      <c r="Y170" s="56"/>
      <c r="Z170" s="56"/>
    </row>
    <row r="171" spans="1:26" ht="15.75" customHeight="1">
      <c r="A171" s="56"/>
      <c r="B171" s="56"/>
      <c r="C171" s="56"/>
      <c r="D171" s="56"/>
      <c r="E171" s="56"/>
      <c r="F171" s="56"/>
      <c r="G171" s="56"/>
      <c r="H171" s="56"/>
      <c r="I171" s="56"/>
      <c r="J171" s="56"/>
      <c r="K171" s="105"/>
      <c r="L171" s="56"/>
      <c r="M171" s="56"/>
      <c r="N171" s="56"/>
      <c r="O171" s="56"/>
      <c r="P171" s="56"/>
      <c r="Q171" s="56"/>
      <c r="R171" s="105"/>
      <c r="S171" s="56"/>
      <c r="T171" s="56"/>
      <c r="U171" s="56"/>
      <c r="V171" s="56"/>
      <c r="W171" s="56"/>
      <c r="X171" s="56"/>
      <c r="Y171" s="56"/>
      <c r="Z171" s="56"/>
    </row>
    <row r="172" spans="1:26" ht="15.75" customHeight="1">
      <c r="A172" s="56"/>
      <c r="B172" s="56"/>
      <c r="C172" s="56"/>
      <c r="D172" s="56"/>
      <c r="E172" s="56"/>
      <c r="F172" s="56"/>
      <c r="G172" s="56"/>
      <c r="H172" s="56"/>
      <c r="I172" s="56"/>
      <c r="J172" s="56"/>
      <c r="K172" s="105"/>
      <c r="L172" s="56"/>
      <c r="M172" s="56"/>
      <c r="N172" s="56"/>
      <c r="O172" s="56"/>
      <c r="P172" s="56"/>
      <c r="Q172" s="56"/>
      <c r="R172" s="105"/>
      <c r="S172" s="56"/>
      <c r="T172" s="56"/>
      <c r="U172" s="56"/>
      <c r="V172" s="56"/>
      <c r="W172" s="56"/>
      <c r="X172" s="56"/>
      <c r="Y172" s="56"/>
      <c r="Z172" s="56"/>
    </row>
    <row r="173" spans="1:26" ht="15.75" customHeight="1">
      <c r="A173" s="56"/>
      <c r="B173" s="56"/>
      <c r="C173" s="56"/>
      <c r="D173" s="56"/>
      <c r="E173" s="56"/>
      <c r="F173" s="56"/>
      <c r="G173" s="56"/>
      <c r="H173" s="56"/>
      <c r="I173" s="56"/>
      <c r="J173" s="56"/>
      <c r="K173" s="105"/>
      <c r="L173" s="56"/>
      <c r="M173" s="56"/>
      <c r="N173" s="56"/>
      <c r="O173" s="56"/>
      <c r="P173" s="56"/>
      <c r="Q173" s="56"/>
      <c r="R173" s="105"/>
      <c r="S173" s="56"/>
      <c r="T173" s="56"/>
      <c r="U173" s="56"/>
      <c r="V173" s="56"/>
      <c r="W173" s="56"/>
      <c r="X173" s="56"/>
      <c r="Y173" s="56"/>
      <c r="Z173" s="56"/>
    </row>
    <row r="174" spans="1:26" ht="15.75" customHeight="1">
      <c r="A174" s="56"/>
      <c r="B174" s="56"/>
      <c r="C174" s="56"/>
      <c r="D174" s="56"/>
      <c r="E174" s="56"/>
      <c r="F174" s="56"/>
      <c r="G174" s="56"/>
      <c r="H174" s="56"/>
      <c r="I174" s="56"/>
      <c r="J174" s="56"/>
      <c r="K174" s="105"/>
      <c r="L174" s="56"/>
      <c r="M174" s="56"/>
      <c r="N174" s="56"/>
      <c r="O174" s="56"/>
      <c r="P174" s="56"/>
      <c r="Q174" s="56"/>
      <c r="R174" s="105"/>
      <c r="S174" s="56"/>
      <c r="T174" s="56"/>
      <c r="U174" s="56"/>
      <c r="V174" s="56"/>
      <c r="W174" s="56"/>
      <c r="X174" s="56"/>
      <c r="Y174" s="56"/>
      <c r="Z174" s="56"/>
    </row>
    <row r="175" spans="1:26" ht="15.75" customHeight="1">
      <c r="A175" s="56"/>
      <c r="B175" s="56"/>
      <c r="C175" s="56"/>
      <c r="D175" s="56"/>
      <c r="E175" s="56"/>
      <c r="F175" s="56"/>
      <c r="G175" s="56"/>
      <c r="H175" s="56"/>
      <c r="I175" s="56"/>
      <c r="J175" s="56"/>
      <c r="K175" s="105"/>
      <c r="L175" s="56"/>
      <c r="M175" s="56"/>
      <c r="N175" s="56"/>
      <c r="O175" s="56"/>
      <c r="P175" s="56"/>
      <c r="Q175" s="56"/>
      <c r="R175" s="105"/>
      <c r="S175" s="56"/>
      <c r="T175" s="56"/>
      <c r="U175" s="56"/>
      <c r="V175" s="56"/>
      <c r="W175" s="56"/>
      <c r="X175" s="56"/>
      <c r="Y175" s="56"/>
      <c r="Z175" s="56"/>
    </row>
    <row r="176" spans="1:26" ht="15.75" customHeight="1">
      <c r="A176" s="56"/>
      <c r="B176" s="56"/>
      <c r="C176" s="56"/>
      <c r="D176" s="56"/>
      <c r="E176" s="56"/>
      <c r="F176" s="56"/>
      <c r="G176" s="56"/>
      <c r="H176" s="56"/>
      <c r="I176" s="56"/>
      <c r="J176" s="56"/>
      <c r="K176" s="105"/>
      <c r="L176" s="56"/>
      <c r="M176" s="56"/>
      <c r="N176" s="56"/>
      <c r="O176" s="56"/>
      <c r="P176" s="56"/>
      <c r="Q176" s="56"/>
      <c r="R176" s="105"/>
      <c r="S176" s="56"/>
      <c r="T176" s="56"/>
      <c r="U176" s="56"/>
      <c r="V176" s="56"/>
      <c r="W176" s="56"/>
      <c r="X176" s="56"/>
      <c r="Y176" s="56"/>
      <c r="Z176" s="56"/>
    </row>
    <row r="177" spans="1:26" ht="15.75" customHeight="1">
      <c r="A177" s="56"/>
      <c r="B177" s="56"/>
      <c r="C177" s="56"/>
      <c r="D177" s="56"/>
      <c r="E177" s="56"/>
      <c r="F177" s="56"/>
      <c r="G177" s="56"/>
      <c r="H177" s="56"/>
      <c r="I177" s="56"/>
      <c r="J177" s="56"/>
      <c r="K177" s="105"/>
      <c r="L177" s="56"/>
      <c r="M177" s="56"/>
      <c r="N177" s="56"/>
      <c r="O177" s="56"/>
      <c r="P177" s="56"/>
      <c r="Q177" s="56"/>
      <c r="R177" s="105"/>
      <c r="S177" s="56"/>
      <c r="T177" s="56"/>
      <c r="U177" s="56"/>
      <c r="V177" s="56"/>
      <c r="W177" s="56"/>
      <c r="X177" s="56"/>
      <c r="Y177" s="56"/>
      <c r="Z177" s="56"/>
    </row>
    <row r="178" spans="1:26" ht="15.75" customHeight="1">
      <c r="A178" s="56"/>
      <c r="B178" s="56"/>
      <c r="C178" s="56"/>
      <c r="D178" s="56"/>
      <c r="E178" s="56"/>
      <c r="F178" s="56"/>
      <c r="G178" s="56"/>
      <c r="H178" s="56"/>
      <c r="I178" s="56"/>
      <c r="J178" s="56"/>
      <c r="K178" s="105"/>
      <c r="L178" s="56"/>
      <c r="M178" s="56"/>
      <c r="N178" s="56"/>
      <c r="O178" s="56"/>
      <c r="P178" s="56"/>
      <c r="Q178" s="56"/>
      <c r="R178" s="105"/>
      <c r="S178" s="56"/>
      <c r="T178" s="56"/>
      <c r="U178" s="56"/>
      <c r="V178" s="56"/>
      <c r="W178" s="56"/>
      <c r="X178" s="56"/>
      <c r="Y178" s="56"/>
      <c r="Z178" s="56"/>
    </row>
    <row r="179" spans="1:26" ht="15.75" customHeight="1">
      <c r="A179" s="56"/>
      <c r="B179" s="56"/>
      <c r="C179" s="56"/>
      <c r="D179" s="56"/>
      <c r="E179" s="56"/>
      <c r="F179" s="56"/>
      <c r="G179" s="56"/>
      <c r="H179" s="56"/>
      <c r="I179" s="56"/>
      <c r="J179" s="56"/>
      <c r="K179" s="105"/>
      <c r="L179" s="56"/>
      <c r="M179" s="56"/>
      <c r="N179" s="56"/>
      <c r="O179" s="56"/>
      <c r="P179" s="56"/>
      <c r="Q179" s="56"/>
      <c r="R179" s="105"/>
      <c r="S179" s="56"/>
      <c r="T179" s="56"/>
      <c r="U179" s="56"/>
      <c r="V179" s="56"/>
      <c r="W179" s="56"/>
      <c r="X179" s="56"/>
      <c r="Y179" s="56"/>
      <c r="Z179" s="56"/>
    </row>
    <row r="180" spans="1:26" ht="15.75" customHeight="1">
      <c r="A180" s="56"/>
      <c r="B180" s="56"/>
      <c r="C180" s="56"/>
      <c r="D180" s="56"/>
      <c r="E180" s="56"/>
      <c r="F180" s="56"/>
      <c r="G180" s="56"/>
      <c r="H180" s="56"/>
      <c r="I180" s="56"/>
      <c r="J180" s="56"/>
      <c r="K180" s="105"/>
      <c r="L180" s="56"/>
      <c r="M180" s="56"/>
      <c r="N180" s="56"/>
      <c r="O180" s="56"/>
      <c r="P180" s="56"/>
      <c r="Q180" s="56"/>
      <c r="R180" s="105"/>
      <c r="S180" s="56"/>
      <c r="T180" s="56"/>
      <c r="U180" s="56"/>
      <c r="V180" s="56"/>
      <c r="W180" s="56"/>
      <c r="X180" s="56"/>
      <c r="Y180" s="56"/>
      <c r="Z180" s="56"/>
    </row>
    <row r="181" spans="1:26" ht="15.75" customHeight="1">
      <c r="A181" s="56"/>
      <c r="B181" s="56"/>
      <c r="C181" s="56"/>
      <c r="D181" s="56"/>
      <c r="E181" s="56"/>
      <c r="F181" s="56"/>
      <c r="G181" s="56"/>
      <c r="H181" s="56"/>
      <c r="I181" s="56"/>
      <c r="J181" s="56"/>
      <c r="K181" s="105"/>
      <c r="L181" s="56"/>
      <c r="M181" s="56"/>
      <c r="N181" s="56"/>
      <c r="O181" s="56"/>
      <c r="P181" s="56"/>
      <c r="Q181" s="56"/>
      <c r="R181" s="105"/>
      <c r="S181" s="56"/>
      <c r="T181" s="56"/>
      <c r="U181" s="56"/>
      <c r="V181" s="56"/>
      <c r="W181" s="56"/>
      <c r="X181" s="56"/>
      <c r="Y181" s="56"/>
      <c r="Z181" s="56"/>
    </row>
    <row r="182" spans="1:26" ht="15.75" customHeight="1">
      <c r="A182" s="56"/>
      <c r="B182" s="56"/>
      <c r="C182" s="56"/>
      <c r="D182" s="56"/>
      <c r="E182" s="56"/>
      <c r="F182" s="56"/>
      <c r="G182" s="56"/>
      <c r="H182" s="56"/>
      <c r="I182" s="56"/>
      <c r="J182" s="56"/>
      <c r="K182" s="105"/>
      <c r="L182" s="56"/>
      <c r="M182" s="56"/>
      <c r="N182" s="56"/>
      <c r="O182" s="56"/>
      <c r="P182" s="56"/>
      <c r="Q182" s="56"/>
      <c r="R182" s="105"/>
      <c r="S182" s="56"/>
      <c r="T182" s="56"/>
      <c r="U182" s="56"/>
      <c r="V182" s="56"/>
      <c r="W182" s="56"/>
      <c r="X182" s="56"/>
      <c r="Y182" s="56"/>
      <c r="Z182" s="56"/>
    </row>
    <row r="183" spans="1:26" ht="15.75" customHeight="1">
      <c r="A183" s="56"/>
      <c r="B183" s="56"/>
      <c r="C183" s="56"/>
      <c r="D183" s="56"/>
      <c r="E183" s="56"/>
      <c r="F183" s="56"/>
      <c r="G183" s="56"/>
      <c r="H183" s="56"/>
      <c r="I183" s="56"/>
      <c r="J183" s="56"/>
      <c r="K183" s="105"/>
      <c r="L183" s="56"/>
      <c r="M183" s="56"/>
      <c r="N183" s="56"/>
      <c r="O183" s="56"/>
      <c r="P183" s="56"/>
      <c r="Q183" s="56"/>
      <c r="R183" s="105"/>
      <c r="S183" s="56"/>
      <c r="T183" s="56"/>
      <c r="U183" s="56"/>
      <c r="V183" s="56"/>
      <c r="W183" s="56"/>
      <c r="X183" s="56"/>
      <c r="Y183" s="56"/>
      <c r="Z183" s="56"/>
    </row>
    <row r="184" spans="1:26" ht="15.75" customHeight="1">
      <c r="A184" s="56"/>
      <c r="B184" s="56"/>
      <c r="C184" s="56"/>
      <c r="D184" s="56"/>
      <c r="E184" s="56"/>
      <c r="F184" s="56"/>
      <c r="G184" s="56"/>
      <c r="H184" s="56"/>
      <c r="I184" s="56"/>
      <c r="J184" s="56"/>
      <c r="K184" s="105"/>
      <c r="L184" s="56"/>
      <c r="M184" s="56"/>
      <c r="N184" s="56"/>
      <c r="O184" s="56"/>
      <c r="P184" s="56"/>
      <c r="Q184" s="56"/>
      <c r="R184" s="105"/>
      <c r="S184" s="56"/>
      <c r="T184" s="56"/>
      <c r="U184" s="56"/>
      <c r="V184" s="56"/>
      <c r="W184" s="56"/>
      <c r="X184" s="56"/>
      <c r="Y184" s="56"/>
      <c r="Z184" s="56"/>
    </row>
    <row r="185" spans="1:26" ht="15.75" customHeight="1">
      <c r="A185" s="56"/>
      <c r="B185" s="56"/>
      <c r="C185" s="56"/>
      <c r="D185" s="56"/>
      <c r="E185" s="56"/>
      <c r="F185" s="56"/>
      <c r="G185" s="56"/>
      <c r="H185" s="56"/>
      <c r="I185" s="56"/>
      <c r="J185" s="56"/>
      <c r="K185" s="105"/>
      <c r="L185" s="56"/>
      <c r="M185" s="56"/>
      <c r="N185" s="56"/>
      <c r="O185" s="56"/>
      <c r="P185" s="56"/>
      <c r="Q185" s="56"/>
      <c r="R185" s="105"/>
      <c r="S185" s="56"/>
      <c r="T185" s="56"/>
      <c r="U185" s="56"/>
      <c r="V185" s="56"/>
      <c r="W185" s="56"/>
      <c r="X185" s="56"/>
      <c r="Y185" s="56"/>
      <c r="Z185" s="56"/>
    </row>
    <row r="186" spans="1:26" ht="15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5"/>
      <c r="L186" s="106"/>
      <c r="M186" s="56"/>
      <c r="N186" s="106"/>
      <c r="O186" s="106"/>
      <c r="P186" s="106"/>
      <c r="Q186" s="106"/>
      <c r="R186" s="105"/>
      <c r="S186" s="56"/>
      <c r="T186" s="106"/>
      <c r="U186" s="106"/>
      <c r="V186" s="106"/>
      <c r="W186" s="106"/>
      <c r="X186" s="106"/>
      <c r="Y186" s="106"/>
      <c r="Z186" s="106"/>
    </row>
    <row r="187" spans="1:26" ht="15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5"/>
      <c r="L187" s="106"/>
      <c r="M187" s="56"/>
      <c r="N187" s="106"/>
      <c r="O187" s="106"/>
      <c r="P187" s="106"/>
      <c r="Q187" s="106"/>
      <c r="R187" s="105"/>
      <c r="S187" s="56"/>
      <c r="T187" s="106"/>
      <c r="U187" s="106"/>
      <c r="V187" s="106"/>
      <c r="W187" s="106"/>
      <c r="X187" s="106"/>
      <c r="Y187" s="106"/>
      <c r="Z187" s="106"/>
    </row>
    <row r="188" spans="1:26" ht="15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5"/>
      <c r="L188" s="106"/>
      <c r="M188" s="56"/>
      <c r="N188" s="106"/>
      <c r="O188" s="106"/>
      <c r="P188" s="106"/>
      <c r="Q188" s="106"/>
      <c r="R188" s="105"/>
      <c r="S188" s="56"/>
      <c r="T188" s="106"/>
      <c r="U188" s="106"/>
      <c r="V188" s="106"/>
      <c r="W188" s="106"/>
      <c r="X188" s="106"/>
      <c r="Y188" s="106"/>
      <c r="Z188" s="106"/>
    </row>
    <row r="189" spans="1:26" ht="15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5"/>
      <c r="L189" s="106"/>
      <c r="M189" s="56"/>
      <c r="N189" s="106"/>
      <c r="O189" s="106"/>
      <c r="P189" s="106"/>
      <c r="Q189" s="106"/>
      <c r="R189" s="105"/>
      <c r="S189" s="56"/>
      <c r="T189" s="106"/>
      <c r="U189" s="106"/>
      <c r="V189" s="106"/>
      <c r="W189" s="106"/>
      <c r="X189" s="106"/>
      <c r="Y189" s="106"/>
      <c r="Z189" s="106"/>
    </row>
    <row r="190" spans="1:26" ht="15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5"/>
      <c r="L190" s="106"/>
      <c r="M190" s="56"/>
      <c r="N190" s="106"/>
      <c r="O190" s="106"/>
      <c r="P190" s="106"/>
      <c r="Q190" s="106"/>
      <c r="R190" s="105"/>
      <c r="S190" s="56"/>
      <c r="T190" s="106"/>
      <c r="U190" s="106"/>
      <c r="V190" s="106"/>
      <c r="W190" s="106"/>
      <c r="X190" s="106"/>
      <c r="Y190" s="106"/>
      <c r="Z190" s="106"/>
    </row>
    <row r="191" spans="1:26" ht="15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5"/>
      <c r="L191" s="106"/>
      <c r="M191" s="56"/>
      <c r="N191" s="106"/>
      <c r="O191" s="106"/>
      <c r="P191" s="106"/>
      <c r="Q191" s="106"/>
      <c r="R191" s="105"/>
      <c r="S191" s="56"/>
      <c r="T191" s="106"/>
      <c r="U191" s="106"/>
      <c r="V191" s="106"/>
      <c r="W191" s="106"/>
      <c r="X191" s="106"/>
      <c r="Y191" s="106"/>
      <c r="Z191" s="106"/>
    </row>
    <row r="192" spans="1:26" ht="15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5"/>
      <c r="L192" s="106"/>
      <c r="M192" s="56"/>
      <c r="N192" s="106"/>
      <c r="O192" s="106"/>
      <c r="P192" s="106"/>
      <c r="Q192" s="106"/>
      <c r="R192" s="105"/>
      <c r="S192" s="56"/>
      <c r="T192" s="106"/>
      <c r="U192" s="106"/>
      <c r="V192" s="106"/>
      <c r="W192" s="106"/>
      <c r="X192" s="106"/>
      <c r="Y192" s="106"/>
      <c r="Z192" s="106"/>
    </row>
    <row r="193" spans="1:26" ht="15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5"/>
      <c r="L193" s="106"/>
      <c r="M193" s="56"/>
      <c r="N193" s="106"/>
      <c r="O193" s="106"/>
      <c r="P193" s="106"/>
      <c r="Q193" s="106"/>
      <c r="R193" s="105"/>
      <c r="S193" s="56"/>
      <c r="T193" s="106"/>
      <c r="U193" s="106"/>
      <c r="V193" s="106"/>
      <c r="W193" s="106"/>
      <c r="X193" s="106"/>
      <c r="Y193" s="106"/>
      <c r="Z193" s="106"/>
    </row>
    <row r="194" spans="1:26" ht="15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5"/>
      <c r="L194" s="106"/>
      <c r="M194" s="56"/>
      <c r="N194" s="106"/>
      <c r="O194" s="106"/>
      <c r="P194" s="106"/>
      <c r="Q194" s="106"/>
      <c r="R194" s="105"/>
      <c r="S194" s="56"/>
      <c r="T194" s="106"/>
      <c r="U194" s="106"/>
      <c r="V194" s="106"/>
      <c r="W194" s="106"/>
      <c r="X194" s="106"/>
      <c r="Y194" s="106"/>
      <c r="Z194" s="106"/>
    </row>
    <row r="195" spans="1:26" ht="15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5"/>
      <c r="L195" s="106"/>
      <c r="M195" s="56"/>
      <c r="N195" s="106"/>
      <c r="O195" s="106"/>
      <c r="P195" s="106"/>
      <c r="Q195" s="106"/>
      <c r="R195" s="105"/>
      <c r="S195" s="56"/>
      <c r="T195" s="106"/>
      <c r="U195" s="106"/>
      <c r="V195" s="106"/>
      <c r="W195" s="106"/>
      <c r="X195" s="106"/>
      <c r="Y195" s="106"/>
      <c r="Z195" s="106"/>
    </row>
    <row r="196" spans="1:26" ht="15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5"/>
      <c r="L196" s="106"/>
      <c r="M196" s="56"/>
      <c r="N196" s="106"/>
      <c r="O196" s="106"/>
      <c r="P196" s="106"/>
      <c r="Q196" s="106"/>
      <c r="R196" s="105"/>
      <c r="S196" s="56"/>
      <c r="T196" s="106"/>
      <c r="U196" s="106"/>
      <c r="V196" s="106"/>
      <c r="W196" s="106"/>
      <c r="X196" s="106"/>
      <c r="Y196" s="106"/>
      <c r="Z196" s="106"/>
    </row>
    <row r="197" spans="1:26" ht="15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5"/>
      <c r="L197" s="106"/>
      <c r="M197" s="56"/>
      <c r="N197" s="106"/>
      <c r="O197" s="106"/>
      <c r="P197" s="106"/>
      <c r="Q197" s="106"/>
      <c r="R197" s="105"/>
      <c r="S197" s="56"/>
      <c r="T197" s="106"/>
      <c r="U197" s="106"/>
      <c r="V197" s="106"/>
      <c r="W197" s="106"/>
      <c r="X197" s="106"/>
      <c r="Y197" s="106"/>
      <c r="Z197" s="106"/>
    </row>
    <row r="198" spans="1:26" ht="15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5"/>
      <c r="L198" s="106"/>
      <c r="M198" s="56"/>
      <c r="N198" s="106"/>
      <c r="O198" s="106"/>
      <c r="P198" s="106"/>
      <c r="Q198" s="106"/>
      <c r="R198" s="105"/>
      <c r="S198" s="56"/>
      <c r="T198" s="106"/>
      <c r="U198" s="106"/>
      <c r="V198" s="106"/>
      <c r="W198" s="106"/>
      <c r="X198" s="106"/>
      <c r="Y198" s="106"/>
      <c r="Z198" s="106"/>
    </row>
    <row r="199" spans="1:26" ht="15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5"/>
      <c r="L199" s="106"/>
      <c r="M199" s="56"/>
      <c r="N199" s="106"/>
      <c r="O199" s="106"/>
      <c r="P199" s="106"/>
      <c r="Q199" s="106"/>
      <c r="R199" s="105"/>
      <c r="S199" s="56"/>
      <c r="T199" s="106"/>
      <c r="U199" s="106"/>
      <c r="V199" s="106"/>
      <c r="W199" s="106"/>
      <c r="X199" s="106"/>
      <c r="Y199" s="106"/>
      <c r="Z199" s="106"/>
    </row>
    <row r="200" spans="1:26" ht="15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5"/>
      <c r="L200" s="106"/>
      <c r="M200" s="56"/>
      <c r="N200" s="106"/>
      <c r="O200" s="106"/>
      <c r="P200" s="106"/>
      <c r="Q200" s="106"/>
      <c r="R200" s="105"/>
      <c r="S200" s="56"/>
      <c r="T200" s="106"/>
      <c r="U200" s="106"/>
      <c r="V200" s="106"/>
      <c r="W200" s="106"/>
      <c r="X200" s="106"/>
      <c r="Y200" s="106"/>
      <c r="Z200" s="106"/>
    </row>
    <row r="201" spans="1:26" ht="15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5"/>
      <c r="L201" s="106"/>
      <c r="M201" s="56"/>
      <c r="N201" s="106"/>
      <c r="O201" s="106"/>
      <c r="P201" s="106"/>
      <c r="Q201" s="106"/>
      <c r="R201" s="105"/>
      <c r="S201" s="56"/>
      <c r="T201" s="106"/>
      <c r="U201" s="106"/>
      <c r="V201" s="106"/>
      <c r="W201" s="106"/>
      <c r="X201" s="106"/>
      <c r="Y201" s="106"/>
      <c r="Z201" s="106"/>
    </row>
    <row r="202" spans="1:26" ht="15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5"/>
      <c r="L202" s="106"/>
      <c r="M202" s="56"/>
      <c r="N202" s="106"/>
      <c r="O202" s="106"/>
      <c r="P202" s="106"/>
      <c r="Q202" s="106"/>
      <c r="R202" s="105"/>
      <c r="S202" s="56"/>
      <c r="T202" s="106"/>
      <c r="U202" s="106"/>
      <c r="V202" s="106"/>
      <c r="W202" s="106"/>
      <c r="X202" s="106"/>
      <c r="Y202" s="106"/>
      <c r="Z202" s="106"/>
    </row>
    <row r="203" spans="1:26" ht="15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5"/>
      <c r="L203" s="106"/>
      <c r="M203" s="56"/>
      <c r="N203" s="106"/>
      <c r="O203" s="106"/>
      <c r="P203" s="106"/>
      <c r="Q203" s="106"/>
      <c r="R203" s="105"/>
      <c r="S203" s="56"/>
      <c r="T203" s="106"/>
      <c r="U203" s="106"/>
      <c r="V203" s="106"/>
      <c r="W203" s="106"/>
      <c r="X203" s="106"/>
      <c r="Y203" s="106"/>
      <c r="Z203" s="106"/>
    </row>
    <row r="204" spans="1:26" ht="15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5"/>
      <c r="L204" s="106"/>
      <c r="M204" s="56"/>
      <c r="N204" s="106"/>
      <c r="O204" s="106"/>
      <c r="P204" s="106"/>
      <c r="Q204" s="106"/>
      <c r="R204" s="105"/>
      <c r="S204" s="56"/>
      <c r="T204" s="106"/>
      <c r="U204" s="106"/>
      <c r="V204" s="106"/>
      <c r="W204" s="106"/>
      <c r="X204" s="106"/>
      <c r="Y204" s="106"/>
      <c r="Z204" s="106"/>
    </row>
    <row r="205" spans="1:26" ht="15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5"/>
      <c r="L205" s="106"/>
      <c r="M205" s="56"/>
      <c r="N205" s="106"/>
      <c r="O205" s="106"/>
      <c r="P205" s="106"/>
      <c r="Q205" s="106"/>
      <c r="R205" s="105"/>
      <c r="S205" s="56"/>
      <c r="T205" s="106"/>
      <c r="U205" s="106"/>
      <c r="V205" s="106"/>
      <c r="W205" s="106"/>
      <c r="X205" s="106"/>
      <c r="Y205" s="106"/>
      <c r="Z205" s="106"/>
    </row>
    <row r="206" spans="1:26" ht="15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5"/>
      <c r="L206" s="106"/>
      <c r="M206" s="56"/>
      <c r="N206" s="106"/>
      <c r="O206" s="106"/>
      <c r="P206" s="106"/>
      <c r="Q206" s="106"/>
      <c r="R206" s="105"/>
      <c r="S206" s="56"/>
      <c r="T206" s="106"/>
      <c r="U206" s="106"/>
      <c r="V206" s="106"/>
      <c r="W206" s="106"/>
      <c r="X206" s="106"/>
      <c r="Y206" s="106"/>
      <c r="Z206" s="106"/>
    </row>
    <row r="207" spans="1:26" ht="15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5"/>
      <c r="L207" s="106"/>
      <c r="M207" s="56"/>
      <c r="N207" s="106"/>
      <c r="O207" s="106"/>
      <c r="P207" s="106"/>
      <c r="Q207" s="106"/>
      <c r="R207" s="105"/>
      <c r="S207" s="56"/>
      <c r="T207" s="106"/>
      <c r="U207" s="106"/>
      <c r="V207" s="106"/>
      <c r="W207" s="106"/>
      <c r="X207" s="106"/>
      <c r="Y207" s="106"/>
      <c r="Z207" s="106"/>
    </row>
    <row r="208" spans="1:26" ht="15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5"/>
      <c r="L208" s="106"/>
      <c r="M208" s="56"/>
      <c r="N208" s="106"/>
      <c r="O208" s="106"/>
      <c r="P208" s="106"/>
      <c r="Q208" s="106"/>
      <c r="R208" s="105"/>
      <c r="S208" s="56"/>
      <c r="T208" s="106"/>
      <c r="U208" s="106"/>
      <c r="V208" s="106"/>
      <c r="W208" s="106"/>
      <c r="X208" s="106"/>
      <c r="Y208" s="106"/>
      <c r="Z208" s="106"/>
    </row>
    <row r="209" spans="1:26" ht="15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5"/>
      <c r="L209" s="106"/>
      <c r="M209" s="56"/>
      <c r="N209" s="106"/>
      <c r="O209" s="106"/>
      <c r="P209" s="106"/>
      <c r="Q209" s="106"/>
      <c r="R209" s="105"/>
      <c r="S209" s="56"/>
      <c r="T209" s="106"/>
      <c r="U209" s="106"/>
      <c r="V209" s="106"/>
      <c r="W209" s="106"/>
      <c r="X209" s="106"/>
      <c r="Y209" s="106"/>
      <c r="Z209" s="106"/>
    </row>
    <row r="210" spans="1:26" ht="15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5"/>
      <c r="L210" s="106"/>
      <c r="M210" s="56"/>
      <c r="N210" s="106"/>
      <c r="O210" s="106"/>
      <c r="P210" s="106"/>
      <c r="Q210" s="106"/>
      <c r="R210" s="105"/>
      <c r="S210" s="56"/>
      <c r="T210" s="106"/>
      <c r="U210" s="106"/>
      <c r="V210" s="106"/>
      <c r="W210" s="106"/>
      <c r="X210" s="106"/>
      <c r="Y210" s="106"/>
      <c r="Z210" s="106"/>
    </row>
    <row r="211" spans="1:26" ht="15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5"/>
      <c r="L211" s="106"/>
      <c r="M211" s="56"/>
      <c r="N211" s="106"/>
      <c r="O211" s="106"/>
      <c r="P211" s="106"/>
      <c r="Q211" s="106"/>
      <c r="R211" s="105"/>
      <c r="S211" s="56"/>
      <c r="T211" s="106"/>
      <c r="U211" s="106"/>
      <c r="V211" s="106"/>
      <c r="W211" s="106"/>
      <c r="X211" s="106"/>
      <c r="Y211" s="106"/>
      <c r="Z211" s="106"/>
    </row>
    <row r="212" spans="1:26" ht="15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5"/>
      <c r="L212" s="106"/>
      <c r="M212" s="56"/>
      <c r="N212" s="106"/>
      <c r="O212" s="106"/>
      <c r="P212" s="106"/>
      <c r="Q212" s="106"/>
      <c r="R212" s="105"/>
      <c r="S212" s="56"/>
      <c r="T212" s="106"/>
      <c r="U212" s="106"/>
      <c r="V212" s="106"/>
      <c r="W212" s="106"/>
      <c r="X212" s="106"/>
      <c r="Y212" s="106"/>
      <c r="Z212" s="106"/>
    </row>
    <row r="213" spans="1:26" ht="15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5"/>
      <c r="L213" s="106"/>
      <c r="M213" s="56"/>
      <c r="N213" s="106"/>
      <c r="O213" s="106"/>
      <c r="P213" s="106"/>
      <c r="Q213" s="106"/>
      <c r="R213" s="105"/>
      <c r="S213" s="56"/>
      <c r="T213" s="106"/>
      <c r="U213" s="106"/>
      <c r="V213" s="106"/>
      <c r="W213" s="106"/>
      <c r="X213" s="106"/>
      <c r="Y213" s="106"/>
      <c r="Z213" s="106"/>
    </row>
    <row r="214" spans="1:26" ht="15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5"/>
      <c r="L214" s="106"/>
      <c r="M214" s="56"/>
      <c r="N214" s="106"/>
      <c r="O214" s="106"/>
      <c r="P214" s="106"/>
      <c r="Q214" s="106"/>
      <c r="R214" s="105"/>
      <c r="S214" s="56"/>
      <c r="T214" s="106"/>
      <c r="U214" s="106"/>
      <c r="V214" s="106"/>
      <c r="W214" s="106"/>
      <c r="X214" s="106"/>
      <c r="Y214" s="106"/>
      <c r="Z214" s="106"/>
    </row>
    <row r="215" spans="1:26" ht="15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5"/>
      <c r="L215" s="106"/>
      <c r="M215" s="56"/>
      <c r="N215" s="106"/>
      <c r="O215" s="106"/>
      <c r="P215" s="106"/>
      <c r="Q215" s="106"/>
      <c r="R215" s="105"/>
      <c r="S215" s="56"/>
      <c r="T215" s="106"/>
      <c r="U215" s="106"/>
      <c r="V215" s="106"/>
      <c r="W215" s="106"/>
      <c r="X215" s="106"/>
      <c r="Y215" s="106"/>
      <c r="Z215" s="106"/>
    </row>
    <row r="216" spans="1:26" ht="15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5"/>
      <c r="L216" s="106"/>
      <c r="M216" s="56"/>
      <c r="N216" s="106"/>
      <c r="O216" s="106"/>
      <c r="P216" s="106"/>
      <c r="Q216" s="106"/>
      <c r="R216" s="105"/>
      <c r="S216" s="56"/>
      <c r="T216" s="106"/>
      <c r="U216" s="106"/>
      <c r="V216" s="106"/>
      <c r="W216" s="106"/>
      <c r="X216" s="106"/>
      <c r="Y216" s="106"/>
      <c r="Z216" s="106"/>
    </row>
    <row r="217" spans="1:26" ht="15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5"/>
      <c r="L217" s="106"/>
      <c r="M217" s="56"/>
      <c r="N217" s="106"/>
      <c r="O217" s="106"/>
      <c r="P217" s="106"/>
      <c r="Q217" s="106"/>
      <c r="R217" s="105"/>
      <c r="S217" s="56"/>
      <c r="T217" s="106"/>
      <c r="U217" s="106"/>
      <c r="V217" s="106"/>
      <c r="W217" s="106"/>
      <c r="X217" s="106"/>
      <c r="Y217" s="106"/>
      <c r="Z217" s="106"/>
    </row>
    <row r="218" spans="1:26" ht="15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5"/>
      <c r="L218" s="106"/>
      <c r="M218" s="56"/>
      <c r="N218" s="106"/>
      <c r="O218" s="106"/>
      <c r="P218" s="106"/>
      <c r="Q218" s="106"/>
      <c r="R218" s="105"/>
      <c r="S218" s="56"/>
      <c r="T218" s="106"/>
      <c r="U218" s="106"/>
      <c r="V218" s="106"/>
      <c r="W218" s="106"/>
      <c r="X218" s="106"/>
      <c r="Y218" s="106"/>
      <c r="Z218" s="106"/>
    </row>
    <row r="219" spans="1:26" ht="15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5"/>
      <c r="L219" s="106"/>
      <c r="M219" s="56"/>
      <c r="N219" s="106"/>
      <c r="O219" s="106"/>
      <c r="P219" s="106"/>
      <c r="Q219" s="106"/>
      <c r="R219" s="105"/>
      <c r="S219" s="56"/>
      <c r="T219" s="106"/>
      <c r="U219" s="106"/>
      <c r="V219" s="106"/>
      <c r="W219" s="106"/>
      <c r="X219" s="106"/>
      <c r="Y219" s="106"/>
      <c r="Z219" s="106"/>
    </row>
    <row r="220" spans="1:26" ht="15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5"/>
      <c r="L220" s="106"/>
      <c r="M220" s="56"/>
      <c r="N220" s="106"/>
      <c r="O220" s="106"/>
      <c r="P220" s="106"/>
      <c r="Q220" s="106"/>
      <c r="R220" s="105"/>
      <c r="S220" s="56"/>
      <c r="T220" s="106"/>
      <c r="U220" s="106"/>
      <c r="V220" s="106"/>
      <c r="W220" s="106"/>
      <c r="X220" s="106"/>
      <c r="Y220" s="106"/>
      <c r="Z220" s="106"/>
    </row>
    <row r="221" spans="1:26" ht="15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5"/>
      <c r="L221" s="106"/>
      <c r="M221" s="56"/>
      <c r="N221" s="106"/>
      <c r="O221" s="106"/>
      <c r="P221" s="106"/>
      <c r="Q221" s="106"/>
      <c r="R221" s="105"/>
      <c r="S221" s="56"/>
      <c r="T221" s="106"/>
      <c r="U221" s="106"/>
      <c r="V221" s="106"/>
      <c r="W221" s="106"/>
      <c r="X221" s="106"/>
      <c r="Y221" s="106"/>
      <c r="Z221" s="106"/>
    </row>
    <row r="222" spans="1:26" ht="15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5"/>
      <c r="L222" s="106"/>
      <c r="M222" s="56"/>
      <c r="N222" s="106"/>
      <c r="O222" s="106"/>
      <c r="P222" s="106"/>
      <c r="Q222" s="106"/>
      <c r="R222" s="105"/>
      <c r="S222" s="56"/>
      <c r="T222" s="106"/>
      <c r="U222" s="106"/>
      <c r="V222" s="106"/>
      <c r="W222" s="106"/>
      <c r="X222" s="106"/>
      <c r="Y222" s="106"/>
      <c r="Z222" s="106"/>
    </row>
    <row r="223" spans="1:26" ht="15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5"/>
      <c r="L223" s="106"/>
      <c r="M223" s="56"/>
      <c r="N223" s="106"/>
      <c r="O223" s="106"/>
      <c r="P223" s="106"/>
      <c r="Q223" s="106"/>
      <c r="R223" s="105"/>
      <c r="S223" s="56"/>
      <c r="T223" s="106"/>
      <c r="U223" s="106"/>
      <c r="V223" s="106"/>
      <c r="W223" s="106"/>
      <c r="X223" s="106"/>
      <c r="Y223" s="106"/>
      <c r="Z223" s="106"/>
    </row>
    <row r="224" spans="1:26" ht="15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5"/>
      <c r="L224" s="106"/>
      <c r="M224" s="56"/>
      <c r="N224" s="106"/>
      <c r="O224" s="106"/>
      <c r="P224" s="106"/>
      <c r="Q224" s="106"/>
      <c r="R224" s="105"/>
      <c r="S224" s="56"/>
      <c r="T224" s="106"/>
      <c r="U224" s="106"/>
      <c r="V224" s="106"/>
      <c r="W224" s="106"/>
      <c r="X224" s="106"/>
      <c r="Y224" s="106"/>
      <c r="Z224" s="106"/>
    </row>
    <row r="225" spans="1:26" ht="15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5"/>
      <c r="L225" s="106"/>
      <c r="M225" s="56"/>
      <c r="N225" s="106"/>
      <c r="O225" s="106"/>
      <c r="P225" s="106"/>
      <c r="Q225" s="106"/>
      <c r="R225" s="105"/>
      <c r="S225" s="56"/>
      <c r="T225" s="106"/>
      <c r="U225" s="106"/>
      <c r="V225" s="106"/>
      <c r="W225" s="106"/>
      <c r="X225" s="106"/>
      <c r="Y225" s="106"/>
      <c r="Z225" s="106"/>
    </row>
    <row r="226" spans="1:26" ht="15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5"/>
      <c r="L226" s="106"/>
      <c r="M226" s="56"/>
      <c r="N226" s="106"/>
      <c r="O226" s="106"/>
      <c r="P226" s="106"/>
      <c r="Q226" s="106"/>
      <c r="R226" s="105"/>
      <c r="S226" s="56"/>
      <c r="T226" s="106"/>
      <c r="U226" s="106"/>
      <c r="V226" s="106"/>
      <c r="W226" s="106"/>
      <c r="X226" s="106"/>
      <c r="Y226" s="106"/>
      <c r="Z226" s="106"/>
    </row>
    <row r="227" spans="1:26" ht="15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5"/>
      <c r="L227" s="106"/>
      <c r="M227" s="56"/>
      <c r="N227" s="106"/>
      <c r="O227" s="106"/>
      <c r="P227" s="106"/>
      <c r="Q227" s="106"/>
      <c r="R227" s="105"/>
      <c r="S227" s="56"/>
      <c r="T227" s="106"/>
      <c r="U227" s="106"/>
      <c r="V227" s="106"/>
      <c r="W227" s="106"/>
      <c r="X227" s="106"/>
      <c r="Y227" s="106"/>
      <c r="Z227" s="106"/>
    </row>
    <row r="228" spans="1:26" ht="15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5"/>
      <c r="L228" s="106"/>
      <c r="M228" s="56"/>
      <c r="N228" s="106"/>
      <c r="O228" s="106"/>
      <c r="P228" s="106"/>
      <c r="Q228" s="106"/>
      <c r="R228" s="105"/>
      <c r="S228" s="56"/>
      <c r="T228" s="106"/>
      <c r="U228" s="106"/>
      <c r="V228" s="106"/>
      <c r="W228" s="106"/>
      <c r="X228" s="106"/>
      <c r="Y228" s="106"/>
      <c r="Z228" s="106"/>
    </row>
    <row r="229" spans="1:26" ht="15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5"/>
      <c r="L229" s="106"/>
      <c r="M229" s="56"/>
      <c r="N229" s="106"/>
      <c r="O229" s="106"/>
      <c r="P229" s="106"/>
      <c r="Q229" s="106"/>
      <c r="R229" s="105"/>
      <c r="S229" s="56"/>
      <c r="T229" s="106"/>
      <c r="U229" s="106"/>
      <c r="V229" s="106"/>
      <c r="W229" s="106"/>
      <c r="X229" s="106"/>
      <c r="Y229" s="106"/>
      <c r="Z229" s="106"/>
    </row>
    <row r="230" spans="1:26" ht="15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5"/>
      <c r="L230" s="106"/>
      <c r="M230" s="56"/>
      <c r="N230" s="106"/>
      <c r="O230" s="106"/>
      <c r="P230" s="106"/>
      <c r="Q230" s="106"/>
      <c r="R230" s="105"/>
      <c r="S230" s="56"/>
      <c r="T230" s="106"/>
      <c r="U230" s="106"/>
      <c r="V230" s="106"/>
      <c r="W230" s="106"/>
      <c r="X230" s="106"/>
      <c r="Y230" s="106"/>
      <c r="Z230" s="106"/>
    </row>
    <row r="231" spans="1:26" ht="15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5"/>
      <c r="L231" s="106"/>
      <c r="M231" s="56"/>
      <c r="N231" s="106"/>
      <c r="O231" s="106"/>
      <c r="P231" s="106"/>
      <c r="Q231" s="106"/>
      <c r="R231" s="105"/>
      <c r="S231" s="56"/>
      <c r="T231" s="106"/>
      <c r="U231" s="106"/>
      <c r="V231" s="106"/>
      <c r="W231" s="106"/>
      <c r="X231" s="106"/>
      <c r="Y231" s="106"/>
      <c r="Z231" s="106"/>
    </row>
    <row r="232" spans="1:26" ht="15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5"/>
      <c r="L232" s="106"/>
      <c r="M232" s="56"/>
      <c r="N232" s="106"/>
      <c r="O232" s="106"/>
      <c r="P232" s="106"/>
      <c r="Q232" s="106"/>
      <c r="R232" s="105"/>
      <c r="S232" s="56"/>
      <c r="T232" s="106"/>
      <c r="U232" s="106"/>
      <c r="V232" s="106"/>
      <c r="W232" s="106"/>
      <c r="X232" s="106"/>
      <c r="Y232" s="106"/>
      <c r="Z232" s="106"/>
    </row>
    <row r="233" spans="1:26" ht="15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5"/>
      <c r="L233" s="106"/>
      <c r="M233" s="56"/>
      <c r="N233" s="106"/>
      <c r="O233" s="106"/>
      <c r="P233" s="106"/>
      <c r="Q233" s="106"/>
      <c r="R233" s="105"/>
      <c r="S233" s="56"/>
      <c r="T233" s="106"/>
      <c r="U233" s="106"/>
      <c r="V233" s="106"/>
      <c r="W233" s="106"/>
      <c r="X233" s="106"/>
      <c r="Y233" s="106"/>
      <c r="Z233" s="106"/>
    </row>
    <row r="234" spans="1:26" ht="15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5"/>
      <c r="L234" s="106"/>
      <c r="M234" s="56"/>
      <c r="N234" s="106"/>
      <c r="O234" s="106"/>
      <c r="P234" s="106"/>
      <c r="Q234" s="106"/>
      <c r="R234" s="105"/>
      <c r="S234" s="56"/>
      <c r="T234" s="106"/>
      <c r="U234" s="106"/>
      <c r="V234" s="106"/>
      <c r="W234" s="106"/>
      <c r="X234" s="106"/>
      <c r="Y234" s="106"/>
      <c r="Z234" s="106"/>
    </row>
    <row r="235" spans="1:26" ht="15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5"/>
      <c r="L235" s="106"/>
      <c r="M235" s="56"/>
      <c r="N235" s="106"/>
      <c r="O235" s="106"/>
      <c r="P235" s="106"/>
      <c r="Q235" s="106"/>
      <c r="R235" s="105"/>
      <c r="S235" s="56"/>
      <c r="T235" s="106"/>
      <c r="U235" s="106"/>
      <c r="V235" s="106"/>
      <c r="W235" s="106"/>
      <c r="X235" s="106"/>
      <c r="Y235" s="106"/>
      <c r="Z235" s="106"/>
    </row>
    <row r="236" spans="1:26" ht="15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5"/>
      <c r="L236" s="106"/>
      <c r="M236" s="56"/>
      <c r="N236" s="106"/>
      <c r="O236" s="106"/>
      <c r="P236" s="106"/>
      <c r="Q236" s="106"/>
      <c r="R236" s="105"/>
      <c r="S236" s="56"/>
      <c r="T236" s="106"/>
      <c r="U236" s="106"/>
      <c r="V236" s="106"/>
      <c r="W236" s="106"/>
      <c r="X236" s="106"/>
      <c r="Y236" s="106"/>
      <c r="Z236" s="106"/>
    </row>
    <row r="237" spans="1:26" ht="15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5"/>
      <c r="L237" s="106"/>
      <c r="M237" s="56"/>
      <c r="N237" s="106"/>
      <c r="O237" s="106"/>
      <c r="P237" s="106"/>
      <c r="Q237" s="106"/>
      <c r="R237" s="105"/>
      <c r="S237" s="56"/>
      <c r="T237" s="106"/>
      <c r="U237" s="106"/>
      <c r="V237" s="106"/>
      <c r="W237" s="106"/>
      <c r="X237" s="106"/>
      <c r="Y237" s="106"/>
      <c r="Z237" s="106"/>
    </row>
    <row r="238" spans="1:26" ht="15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5"/>
      <c r="L238" s="106"/>
      <c r="M238" s="56"/>
      <c r="N238" s="106"/>
      <c r="O238" s="106"/>
      <c r="P238" s="106"/>
      <c r="Q238" s="106"/>
      <c r="R238" s="105"/>
      <c r="S238" s="56"/>
      <c r="T238" s="106"/>
      <c r="U238" s="106"/>
      <c r="V238" s="106"/>
      <c r="W238" s="106"/>
      <c r="X238" s="106"/>
      <c r="Y238" s="106"/>
      <c r="Z238" s="106"/>
    </row>
    <row r="239" spans="1:26" ht="15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5"/>
      <c r="L239" s="106"/>
      <c r="M239" s="56"/>
      <c r="N239" s="106"/>
      <c r="O239" s="106"/>
      <c r="P239" s="106"/>
      <c r="Q239" s="106"/>
      <c r="R239" s="105"/>
      <c r="S239" s="56"/>
      <c r="T239" s="106"/>
      <c r="U239" s="106"/>
      <c r="V239" s="106"/>
      <c r="W239" s="106"/>
      <c r="X239" s="106"/>
      <c r="Y239" s="106"/>
      <c r="Z239" s="106"/>
    </row>
    <row r="240" spans="1:26" ht="15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5"/>
      <c r="L240" s="106"/>
      <c r="M240" s="56"/>
      <c r="N240" s="106"/>
      <c r="O240" s="106"/>
      <c r="P240" s="106"/>
      <c r="Q240" s="106"/>
      <c r="R240" s="105"/>
      <c r="S240" s="56"/>
      <c r="T240" s="106"/>
      <c r="U240" s="106"/>
      <c r="V240" s="106"/>
      <c r="W240" s="106"/>
      <c r="X240" s="106"/>
      <c r="Y240" s="106"/>
      <c r="Z240" s="106"/>
    </row>
    <row r="241" spans="1:26" ht="15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5"/>
      <c r="L241" s="106"/>
      <c r="M241" s="56"/>
      <c r="N241" s="106"/>
      <c r="O241" s="106"/>
      <c r="P241" s="106"/>
      <c r="Q241" s="106"/>
      <c r="R241" s="105"/>
      <c r="S241" s="56"/>
      <c r="T241" s="106"/>
      <c r="U241" s="106"/>
      <c r="V241" s="106"/>
      <c r="W241" s="106"/>
      <c r="X241" s="106"/>
      <c r="Y241" s="106"/>
      <c r="Z241" s="106"/>
    </row>
    <row r="242" spans="1:26" ht="15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5"/>
      <c r="L242" s="106"/>
      <c r="M242" s="56"/>
      <c r="N242" s="106"/>
      <c r="O242" s="106"/>
      <c r="P242" s="106"/>
      <c r="Q242" s="106"/>
      <c r="R242" s="105"/>
      <c r="S242" s="56"/>
      <c r="T242" s="106"/>
      <c r="U242" s="106"/>
      <c r="V242" s="106"/>
      <c r="W242" s="106"/>
      <c r="X242" s="106"/>
      <c r="Y242" s="106"/>
      <c r="Z242" s="106"/>
    </row>
    <row r="243" spans="1:26" ht="15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5"/>
      <c r="L243" s="106"/>
      <c r="M243" s="56"/>
      <c r="N243" s="106"/>
      <c r="O243" s="106"/>
      <c r="P243" s="106"/>
      <c r="Q243" s="106"/>
      <c r="R243" s="105"/>
      <c r="S243" s="56"/>
      <c r="T243" s="106"/>
      <c r="U243" s="106"/>
      <c r="V243" s="106"/>
      <c r="W243" s="106"/>
      <c r="X243" s="106"/>
      <c r="Y243" s="106"/>
      <c r="Z243" s="106"/>
    </row>
    <row r="244" spans="1:26" ht="15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5"/>
      <c r="L244" s="106"/>
      <c r="M244" s="56"/>
      <c r="N244" s="106"/>
      <c r="O244" s="106"/>
      <c r="P244" s="106"/>
      <c r="Q244" s="106"/>
      <c r="R244" s="105"/>
      <c r="S244" s="56"/>
      <c r="T244" s="106"/>
      <c r="U244" s="106"/>
      <c r="V244" s="106"/>
      <c r="W244" s="106"/>
      <c r="X244" s="106"/>
      <c r="Y244" s="106"/>
      <c r="Z244" s="106"/>
    </row>
    <row r="245" spans="1:26" ht="15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5"/>
      <c r="L245" s="106"/>
      <c r="M245" s="56"/>
      <c r="N245" s="106"/>
      <c r="O245" s="106"/>
      <c r="P245" s="106"/>
      <c r="Q245" s="106"/>
      <c r="R245" s="105"/>
      <c r="S245" s="56"/>
      <c r="T245" s="106"/>
      <c r="U245" s="106"/>
      <c r="V245" s="106"/>
      <c r="W245" s="106"/>
      <c r="X245" s="106"/>
      <c r="Y245" s="106"/>
      <c r="Z245" s="106"/>
    </row>
    <row r="246" spans="1:26" ht="15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5"/>
      <c r="L246" s="106"/>
      <c r="M246" s="56"/>
      <c r="N246" s="106"/>
      <c r="O246" s="106"/>
      <c r="P246" s="106"/>
      <c r="Q246" s="106"/>
      <c r="R246" s="105"/>
      <c r="S246" s="56"/>
      <c r="T246" s="106"/>
      <c r="U246" s="106"/>
      <c r="V246" s="106"/>
      <c r="W246" s="106"/>
      <c r="X246" s="106"/>
      <c r="Y246" s="106"/>
      <c r="Z246" s="106"/>
    </row>
    <row r="247" spans="1:26" ht="15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5"/>
      <c r="L247" s="106"/>
      <c r="M247" s="56"/>
      <c r="N247" s="106"/>
      <c r="O247" s="106"/>
      <c r="P247" s="106"/>
      <c r="Q247" s="106"/>
      <c r="R247" s="105"/>
      <c r="S247" s="56"/>
      <c r="T247" s="106"/>
      <c r="U247" s="106"/>
      <c r="V247" s="106"/>
      <c r="W247" s="106"/>
      <c r="X247" s="106"/>
      <c r="Y247" s="106"/>
      <c r="Z247" s="106"/>
    </row>
    <row r="248" spans="1:26" ht="15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5"/>
      <c r="L248" s="106"/>
      <c r="M248" s="56"/>
      <c r="N248" s="106"/>
      <c r="O248" s="106"/>
      <c r="P248" s="106"/>
      <c r="Q248" s="106"/>
      <c r="R248" s="105"/>
      <c r="S248" s="56"/>
      <c r="T248" s="106"/>
      <c r="U248" s="106"/>
      <c r="V248" s="106"/>
      <c r="W248" s="106"/>
      <c r="X248" s="106"/>
      <c r="Y248" s="106"/>
      <c r="Z248" s="106"/>
    </row>
    <row r="249" spans="1:26" ht="15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5"/>
      <c r="L249" s="106"/>
      <c r="M249" s="56"/>
      <c r="N249" s="106"/>
      <c r="O249" s="106"/>
      <c r="P249" s="106"/>
      <c r="Q249" s="106"/>
      <c r="R249" s="105"/>
      <c r="S249" s="56"/>
      <c r="T249" s="106"/>
      <c r="U249" s="106"/>
      <c r="V249" s="106"/>
      <c r="W249" s="106"/>
      <c r="X249" s="106"/>
      <c r="Y249" s="106"/>
      <c r="Z249" s="106"/>
    </row>
    <row r="250" spans="1:26" ht="15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5"/>
      <c r="L250" s="106"/>
      <c r="M250" s="56"/>
      <c r="N250" s="106"/>
      <c r="O250" s="106"/>
      <c r="P250" s="106"/>
      <c r="Q250" s="106"/>
      <c r="R250" s="105"/>
      <c r="S250" s="56"/>
      <c r="T250" s="106"/>
      <c r="U250" s="106"/>
      <c r="V250" s="106"/>
      <c r="W250" s="106"/>
      <c r="X250" s="106"/>
      <c r="Y250" s="106"/>
      <c r="Z250" s="106"/>
    </row>
    <row r="251" spans="1:26" ht="15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5"/>
      <c r="L251" s="106"/>
      <c r="M251" s="56"/>
      <c r="N251" s="106"/>
      <c r="O251" s="106"/>
      <c r="P251" s="106"/>
      <c r="Q251" s="106"/>
      <c r="R251" s="105"/>
      <c r="S251" s="56"/>
      <c r="T251" s="106"/>
      <c r="U251" s="106"/>
      <c r="V251" s="106"/>
      <c r="W251" s="106"/>
      <c r="X251" s="106"/>
      <c r="Y251" s="106"/>
      <c r="Z251" s="106"/>
    </row>
    <row r="252" spans="1:26" ht="15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5"/>
      <c r="L252" s="106"/>
      <c r="M252" s="56"/>
      <c r="N252" s="106"/>
      <c r="O252" s="106"/>
      <c r="P252" s="106"/>
      <c r="Q252" s="106"/>
      <c r="R252" s="105"/>
      <c r="S252" s="56"/>
      <c r="T252" s="106"/>
      <c r="U252" s="106"/>
      <c r="V252" s="106"/>
      <c r="W252" s="106"/>
      <c r="X252" s="106"/>
      <c r="Y252" s="106"/>
      <c r="Z252" s="106"/>
    </row>
    <row r="253" spans="1:26" ht="15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5"/>
      <c r="L253" s="106"/>
      <c r="M253" s="56"/>
      <c r="N253" s="106"/>
      <c r="O253" s="106"/>
      <c r="P253" s="106"/>
      <c r="Q253" s="106"/>
      <c r="R253" s="105"/>
      <c r="S253" s="56"/>
      <c r="T253" s="106"/>
      <c r="U253" s="106"/>
      <c r="V253" s="106"/>
      <c r="W253" s="106"/>
      <c r="X253" s="106"/>
      <c r="Y253" s="106"/>
      <c r="Z253" s="106"/>
    </row>
    <row r="254" spans="1:26" ht="15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5"/>
      <c r="L254" s="106"/>
      <c r="M254" s="56"/>
      <c r="N254" s="106"/>
      <c r="O254" s="106"/>
      <c r="P254" s="106"/>
      <c r="Q254" s="106"/>
      <c r="R254" s="105"/>
      <c r="S254" s="56"/>
      <c r="T254" s="106"/>
      <c r="U254" s="106"/>
      <c r="V254" s="106"/>
      <c r="W254" s="106"/>
      <c r="X254" s="106"/>
      <c r="Y254" s="106"/>
      <c r="Z254" s="106"/>
    </row>
    <row r="255" spans="1:26" ht="15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5"/>
      <c r="L255" s="106"/>
      <c r="M255" s="56"/>
      <c r="N255" s="106"/>
      <c r="O255" s="106"/>
      <c r="P255" s="106"/>
      <c r="Q255" s="106"/>
      <c r="R255" s="105"/>
      <c r="S255" s="56"/>
      <c r="T255" s="106"/>
      <c r="U255" s="106"/>
      <c r="V255" s="106"/>
      <c r="W255" s="106"/>
      <c r="X255" s="106"/>
      <c r="Y255" s="106"/>
      <c r="Z255" s="106"/>
    </row>
    <row r="256" spans="1:26" ht="15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5"/>
      <c r="L256" s="106"/>
      <c r="M256" s="56"/>
      <c r="N256" s="106"/>
      <c r="O256" s="106"/>
      <c r="P256" s="106"/>
      <c r="Q256" s="106"/>
      <c r="R256" s="105"/>
      <c r="S256" s="56"/>
      <c r="T256" s="106"/>
      <c r="U256" s="106"/>
      <c r="V256" s="106"/>
      <c r="W256" s="106"/>
      <c r="X256" s="106"/>
      <c r="Y256" s="106"/>
      <c r="Z256" s="106"/>
    </row>
    <row r="257" spans="1:26" ht="15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5"/>
      <c r="L257" s="106"/>
      <c r="M257" s="56"/>
      <c r="N257" s="106"/>
      <c r="O257" s="106"/>
      <c r="P257" s="106"/>
      <c r="Q257" s="106"/>
      <c r="R257" s="105"/>
      <c r="S257" s="56"/>
      <c r="T257" s="106"/>
      <c r="U257" s="106"/>
      <c r="V257" s="106"/>
      <c r="W257" s="106"/>
      <c r="X257" s="106"/>
      <c r="Y257" s="106"/>
      <c r="Z257" s="106"/>
    </row>
    <row r="258" spans="1:26" ht="15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5"/>
      <c r="L258" s="106"/>
      <c r="M258" s="56"/>
      <c r="N258" s="106"/>
      <c r="O258" s="106"/>
      <c r="P258" s="106"/>
      <c r="Q258" s="106"/>
      <c r="R258" s="105"/>
      <c r="S258" s="56"/>
      <c r="T258" s="106"/>
      <c r="U258" s="106"/>
      <c r="V258" s="106"/>
      <c r="W258" s="106"/>
      <c r="X258" s="106"/>
      <c r="Y258" s="106"/>
      <c r="Z258" s="106"/>
    </row>
    <row r="259" spans="1:26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5"/>
      <c r="L259" s="106"/>
      <c r="M259" s="56"/>
      <c r="N259" s="106"/>
      <c r="O259" s="106"/>
      <c r="P259" s="106"/>
      <c r="Q259" s="106"/>
      <c r="R259" s="105"/>
      <c r="S259" s="56"/>
      <c r="T259" s="106"/>
      <c r="U259" s="106"/>
      <c r="V259" s="106"/>
      <c r="W259" s="106"/>
      <c r="X259" s="106"/>
      <c r="Y259" s="106"/>
      <c r="Z259" s="106"/>
    </row>
    <row r="260" spans="1:26" ht="15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5"/>
      <c r="L260" s="106"/>
      <c r="M260" s="56"/>
      <c r="N260" s="106"/>
      <c r="O260" s="106"/>
      <c r="P260" s="106"/>
      <c r="Q260" s="106"/>
      <c r="R260" s="105"/>
      <c r="S260" s="56"/>
      <c r="T260" s="106"/>
      <c r="U260" s="106"/>
      <c r="V260" s="106"/>
      <c r="W260" s="106"/>
      <c r="X260" s="106"/>
      <c r="Y260" s="106"/>
      <c r="Z260" s="106"/>
    </row>
    <row r="261" spans="1:26" ht="15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5"/>
      <c r="L261" s="106"/>
      <c r="M261" s="56"/>
      <c r="N261" s="106"/>
      <c r="O261" s="106"/>
      <c r="P261" s="106"/>
      <c r="Q261" s="106"/>
      <c r="R261" s="105"/>
      <c r="S261" s="56"/>
      <c r="T261" s="106"/>
      <c r="U261" s="106"/>
      <c r="V261" s="106"/>
      <c r="W261" s="106"/>
      <c r="X261" s="106"/>
      <c r="Y261" s="106"/>
      <c r="Z261" s="106"/>
    </row>
    <row r="262" spans="1:26" ht="15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5"/>
      <c r="L262" s="106"/>
      <c r="M262" s="56"/>
      <c r="N262" s="106"/>
      <c r="O262" s="106"/>
      <c r="P262" s="106"/>
      <c r="Q262" s="106"/>
      <c r="R262" s="105"/>
      <c r="S262" s="56"/>
      <c r="T262" s="106"/>
      <c r="U262" s="106"/>
      <c r="V262" s="106"/>
      <c r="W262" s="106"/>
      <c r="X262" s="106"/>
      <c r="Y262" s="106"/>
      <c r="Z262" s="106"/>
    </row>
    <row r="263" spans="1:26" ht="15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5"/>
      <c r="L263" s="106"/>
      <c r="M263" s="56"/>
      <c r="N263" s="106"/>
      <c r="O263" s="106"/>
      <c r="P263" s="106"/>
      <c r="Q263" s="106"/>
      <c r="R263" s="105"/>
      <c r="S263" s="56"/>
      <c r="T263" s="106"/>
      <c r="U263" s="106"/>
      <c r="V263" s="106"/>
      <c r="W263" s="106"/>
      <c r="X263" s="106"/>
      <c r="Y263" s="106"/>
      <c r="Z263" s="106"/>
    </row>
    <row r="264" spans="1:26" ht="15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5"/>
      <c r="L264" s="106"/>
      <c r="M264" s="56"/>
      <c r="N264" s="106"/>
      <c r="O264" s="106"/>
      <c r="P264" s="106"/>
      <c r="Q264" s="106"/>
      <c r="R264" s="105"/>
      <c r="S264" s="56"/>
      <c r="T264" s="106"/>
      <c r="U264" s="106"/>
      <c r="V264" s="106"/>
      <c r="W264" s="106"/>
      <c r="X264" s="106"/>
      <c r="Y264" s="106"/>
      <c r="Z264" s="106"/>
    </row>
    <row r="265" spans="1:26" ht="15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5"/>
      <c r="L265" s="106"/>
      <c r="M265" s="56"/>
      <c r="N265" s="106"/>
      <c r="O265" s="106"/>
      <c r="P265" s="106"/>
      <c r="Q265" s="106"/>
      <c r="R265" s="105"/>
      <c r="S265" s="56"/>
      <c r="T265" s="106"/>
      <c r="U265" s="106"/>
      <c r="V265" s="106"/>
      <c r="W265" s="106"/>
      <c r="X265" s="106"/>
      <c r="Y265" s="106"/>
      <c r="Z265" s="106"/>
    </row>
    <row r="266" spans="1:26" ht="15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5"/>
      <c r="L266" s="106"/>
      <c r="M266" s="56"/>
      <c r="N266" s="106"/>
      <c r="O266" s="106"/>
      <c r="P266" s="106"/>
      <c r="Q266" s="106"/>
      <c r="R266" s="105"/>
      <c r="S266" s="56"/>
      <c r="T266" s="106"/>
      <c r="U266" s="106"/>
      <c r="V266" s="106"/>
      <c r="W266" s="106"/>
      <c r="X266" s="106"/>
      <c r="Y266" s="106"/>
      <c r="Z266" s="106"/>
    </row>
    <row r="267" spans="1:26" ht="15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5"/>
      <c r="L267" s="106"/>
      <c r="M267" s="56"/>
      <c r="N267" s="106"/>
      <c r="O267" s="106"/>
      <c r="P267" s="106"/>
      <c r="Q267" s="106"/>
      <c r="R267" s="105"/>
      <c r="S267" s="56"/>
      <c r="T267" s="106"/>
      <c r="U267" s="106"/>
      <c r="V267" s="106"/>
      <c r="W267" s="106"/>
      <c r="X267" s="106"/>
      <c r="Y267" s="106"/>
      <c r="Z267" s="106"/>
    </row>
    <row r="268" spans="1:26" ht="15.75" customHeight="1">
      <c r="A268" s="106"/>
      <c r="B268" s="106"/>
      <c r="C268" s="106"/>
      <c r="D268" s="106"/>
      <c r="E268" s="106"/>
      <c r="F268" s="106"/>
      <c r="G268" s="106"/>
      <c r="H268" s="106"/>
      <c r="I268" s="106"/>
      <c r="J268" s="106"/>
      <c r="K268" s="105"/>
      <c r="L268" s="106"/>
      <c r="M268" s="56"/>
      <c r="N268" s="106"/>
      <c r="O268" s="106"/>
      <c r="P268" s="106"/>
      <c r="Q268" s="106"/>
      <c r="R268" s="105"/>
      <c r="S268" s="56"/>
      <c r="T268" s="106"/>
      <c r="U268" s="106"/>
      <c r="V268" s="106"/>
      <c r="W268" s="106"/>
      <c r="X268" s="106"/>
      <c r="Y268" s="106"/>
      <c r="Z268" s="106"/>
    </row>
    <row r="269" spans="1:26" ht="15.75" customHeight="1">
      <c r="A269" s="106"/>
      <c r="B269" s="106"/>
      <c r="C269" s="106"/>
      <c r="D269" s="106"/>
      <c r="E269" s="106"/>
      <c r="F269" s="106"/>
      <c r="G269" s="106"/>
      <c r="H269" s="106"/>
      <c r="I269" s="106"/>
      <c r="J269" s="106"/>
      <c r="K269" s="105"/>
      <c r="L269" s="106"/>
      <c r="M269" s="56"/>
      <c r="N269" s="106"/>
      <c r="O269" s="106"/>
      <c r="P269" s="106"/>
      <c r="Q269" s="106"/>
      <c r="R269" s="105"/>
      <c r="S269" s="56"/>
      <c r="T269" s="106"/>
      <c r="U269" s="106"/>
      <c r="V269" s="106"/>
      <c r="W269" s="106"/>
      <c r="X269" s="106"/>
      <c r="Y269" s="106"/>
      <c r="Z269" s="106"/>
    </row>
    <row r="270" spans="1:26" ht="15.75" customHeight="1">
      <c r="A270" s="106"/>
      <c r="B270" s="106"/>
      <c r="C270" s="106"/>
      <c r="D270" s="106"/>
      <c r="E270" s="106"/>
      <c r="F270" s="106"/>
      <c r="G270" s="106"/>
      <c r="H270" s="106"/>
      <c r="I270" s="106"/>
      <c r="J270" s="106"/>
      <c r="K270" s="105"/>
      <c r="L270" s="106"/>
      <c r="M270" s="56"/>
      <c r="N270" s="106"/>
      <c r="O270" s="106"/>
      <c r="P270" s="106"/>
      <c r="Q270" s="106"/>
      <c r="R270" s="105"/>
      <c r="S270" s="56"/>
      <c r="T270" s="106"/>
      <c r="U270" s="106"/>
      <c r="V270" s="106"/>
      <c r="W270" s="106"/>
      <c r="X270" s="106"/>
      <c r="Y270" s="106"/>
      <c r="Z270" s="106"/>
    </row>
    <row r="271" spans="1:26" ht="15.75" customHeight="1">
      <c r="A271" s="106"/>
      <c r="B271" s="106"/>
      <c r="C271" s="106"/>
      <c r="D271" s="106"/>
      <c r="E271" s="106"/>
      <c r="F271" s="106"/>
      <c r="G271" s="106"/>
      <c r="H271" s="106"/>
      <c r="I271" s="106"/>
      <c r="J271" s="106"/>
      <c r="K271" s="105"/>
      <c r="L271" s="106"/>
      <c r="M271" s="56"/>
      <c r="N271" s="106"/>
      <c r="O271" s="106"/>
      <c r="P271" s="106"/>
      <c r="Q271" s="106"/>
      <c r="R271" s="105"/>
      <c r="S271" s="56"/>
      <c r="T271" s="106"/>
      <c r="U271" s="106"/>
      <c r="V271" s="106"/>
      <c r="W271" s="106"/>
      <c r="X271" s="106"/>
      <c r="Y271" s="106"/>
      <c r="Z271" s="106"/>
    </row>
    <row r="272" spans="1:26" ht="15.75" customHeight="1">
      <c r="A272" s="106"/>
      <c r="B272" s="106"/>
      <c r="C272" s="106"/>
      <c r="D272" s="106"/>
      <c r="E272" s="106"/>
      <c r="F272" s="106"/>
      <c r="G272" s="106"/>
      <c r="H272" s="106"/>
      <c r="I272" s="106"/>
      <c r="J272" s="106"/>
      <c r="K272" s="105"/>
      <c r="L272" s="106"/>
      <c r="M272" s="56"/>
      <c r="N272" s="106"/>
      <c r="O272" s="106"/>
      <c r="P272" s="106"/>
      <c r="Q272" s="106"/>
      <c r="R272" s="105"/>
      <c r="S272" s="56"/>
      <c r="T272" s="106"/>
      <c r="U272" s="106"/>
      <c r="V272" s="106"/>
      <c r="W272" s="106"/>
      <c r="X272" s="106"/>
      <c r="Y272" s="106"/>
      <c r="Z272" s="106"/>
    </row>
    <row r="273" spans="1:26" ht="15.75" customHeight="1">
      <c r="A273" s="106"/>
      <c r="B273" s="106"/>
      <c r="C273" s="106"/>
      <c r="D273" s="106"/>
      <c r="E273" s="106"/>
      <c r="F273" s="106"/>
      <c r="G273" s="106"/>
      <c r="H273" s="106"/>
      <c r="I273" s="106"/>
      <c r="J273" s="106"/>
      <c r="K273" s="105"/>
      <c r="L273" s="106"/>
      <c r="M273" s="56"/>
      <c r="N273" s="106"/>
      <c r="O273" s="106"/>
      <c r="P273" s="106"/>
      <c r="Q273" s="106"/>
      <c r="R273" s="105"/>
      <c r="S273" s="56"/>
      <c r="T273" s="106"/>
      <c r="U273" s="106"/>
      <c r="V273" s="106"/>
      <c r="W273" s="106"/>
      <c r="X273" s="106"/>
      <c r="Y273" s="106"/>
      <c r="Z273" s="106"/>
    </row>
    <row r="274" spans="1:26" ht="15.75" customHeight="1">
      <c r="A274" s="106"/>
      <c r="B274" s="106"/>
      <c r="C274" s="106"/>
      <c r="D274" s="106"/>
      <c r="E274" s="106"/>
      <c r="F274" s="106"/>
      <c r="G274" s="106"/>
      <c r="H274" s="106"/>
      <c r="I274" s="106"/>
      <c r="J274" s="106"/>
      <c r="K274" s="105"/>
      <c r="L274" s="106"/>
      <c r="M274" s="56"/>
      <c r="N274" s="106"/>
      <c r="O274" s="106"/>
      <c r="P274" s="106"/>
      <c r="Q274" s="106"/>
      <c r="R274" s="105"/>
      <c r="S274" s="56"/>
      <c r="T274" s="106"/>
      <c r="U274" s="106"/>
      <c r="V274" s="106"/>
      <c r="W274" s="106"/>
      <c r="X274" s="106"/>
      <c r="Y274" s="106"/>
      <c r="Z274" s="106"/>
    </row>
    <row r="275" spans="1:26" ht="15.75" customHeight="1">
      <c r="A275" s="106"/>
      <c r="B275" s="106"/>
      <c r="C275" s="106"/>
      <c r="D275" s="106"/>
      <c r="E275" s="106"/>
      <c r="F275" s="106"/>
      <c r="G275" s="106"/>
      <c r="H275" s="106"/>
      <c r="I275" s="106"/>
      <c r="J275" s="106"/>
      <c r="K275" s="105"/>
      <c r="L275" s="106"/>
      <c r="M275" s="56"/>
      <c r="N275" s="106"/>
      <c r="O275" s="106"/>
      <c r="P275" s="106"/>
      <c r="Q275" s="106"/>
      <c r="R275" s="105"/>
      <c r="S275" s="56"/>
      <c r="T275" s="106"/>
      <c r="U275" s="106"/>
      <c r="V275" s="106"/>
      <c r="W275" s="106"/>
      <c r="X275" s="106"/>
      <c r="Y275" s="106"/>
      <c r="Z275" s="106"/>
    </row>
    <row r="276" spans="1:26" ht="15.75" customHeight="1">
      <c r="A276" s="106"/>
      <c r="B276" s="106"/>
      <c r="C276" s="106"/>
      <c r="D276" s="106"/>
      <c r="E276" s="106"/>
      <c r="F276" s="106"/>
      <c r="G276" s="106"/>
      <c r="H276" s="106"/>
      <c r="I276" s="106"/>
      <c r="J276" s="106"/>
      <c r="K276" s="105"/>
      <c r="L276" s="106"/>
      <c r="M276" s="56"/>
      <c r="N276" s="106"/>
      <c r="O276" s="106"/>
      <c r="P276" s="106"/>
      <c r="Q276" s="106"/>
      <c r="R276" s="105"/>
      <c r="S276" s="56"/>
      <c r="T276" s="106"/>
      <c r="U276" s="106"/>
      <c r="V276" s="106"/>
      <c r="W276" s="106"/>
      <c r="X276" s="106"/>
      <c r="Y276" s="106"/>
      <c r="Z276" s="106"/>
    </row>
    <row r="277" spans="1:26" ht="15.75" customHeight="1">
      <c r="A277" s="106"/>
      <c r="B277" s="106"/>
      <c r="C277" s="106"/>
      <c r="D277" s="106"/>
      <c r="E277" s="106"/>
      <c r="F277" s="106"/>
      <c r="G277" s="106"/>
      <c r="H277" s="106"/>
      <c r="I277" s="106"/>
      <c r="J277" s="106"/>
      <c r="K277" s="105"/>
      <c r="L277" s="106"/>
      <c r="M277" s="56"/>
      <c r="N277" s="106"/>
      <c r="O277" s="106"/>
      <c r="P277" s="106"/>
      <c r="Q277" s="106"/>
      <c r="R277" s="105"/>
      <c r="S277" s="56"/>
      <c r="T277" s="106"/>
      <c r="U277" s="106"/>
      <c r="V277" s="106"/>
      <c r="W277" s="106"/>
      <c r="X277" s="106"/>
      <c r="Y277" s="106"/>
      <c r="Z277" s="106"/>
    </row>
    <row r="278" spans="1:26" ht="15.75" customHeight="1">
      <c r="A278" s="106"/>
      <c r="B278" s="106"/>
      <c r="C278" s="106"/>
      <c r="D278" s="106"/>
      <c r="E278" s="106"/>
      <c r="F278" s="106"/>
      <c r="G278" s="106"/>
      <c r="H278" s="106"/>
      <c r="I278" s="106"/>
      <c r="J278" s="106"/>
      <c r="K278" s="105"/>
      <c r="L278" s="106"/>
      <c r="M278" s="56"/>
      <c r="N278" s="106"/>
      <c r="O278" s="106"/>
      <c r="P278" s="106"/>
      <c r="Q278" s="106"/>
      <c r="R278" s="105"/>
      <c r="S278" s="56"/>
      <c r="T278" s="106"/>
      <c r="U278" s="106"/>
      <c r="V278" s="106"/>
      <c r="W278" s="106"/>
      <c r="X278" s="106"/>
      <c r="Y278" s="106"/>
      <c r="Z278" s="106"/>
    </row>
    <row r="279" spans="1:26" ht="15.75" customHeight="1"/>
    <row r="280" spans="1:26" ht="15.75" customHeight="1"/>
    <row r="281" spans="1:26" ht="15.75" customHeight="1"/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S1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workbookViewId="0"/>
  </sheetViews>
  <sheetFormatPr defaultColWidth="14.42578125" defaultRowHeight="15" customHeight="1"/>
  <cols>
    <col min="1" max="1" width="8.7109375" customWidth="1"/>
    <col min="2" max="2" width="20" customWidth="1"/>
    <col min="3" max="3" width="15" customWidth="1"/>
    <col min="4" max="4" width="35.140625" customWidth="1"/>
    <col min="5" max="5" width="9" customWidth="1"/>
    <col min="6" max="6" width="35.140625" customWidth="1"/>
    <col min="7" max="7" width="11" customWidth="1"/>
  </cols>
  <sheetData>
    <row r="1" spans="1:7" ht="14.25" customHeight="1">
      <c r="A1" s="107" t="s">
        <v>813</v>
      </c>
      <c r="B1" s="107" t="s">
        <v>814</v>
      </c>
      <c r="C1" s="108" t="s">
        <v>815</v>
      </c>
      <c r="D1" s="107" t="s">
        <v>816</v>
      </c>
      <c r="E1" s="107" t="s">
        <v>817</v>
      </c>
      <c r="F1" s="107" t="s">
        <v>818</v>
      </c>
      <c r="G1" s="107" t="s">
        <v>819</v>
      </c>
    </row>
    <row r="2" spans="1:7" ht="14.25" customHeight="1">
      <c r="A2" s="37">
        <v>1</v>
      </c>
      <c r="B2" s="109" t="s">
        <v>43</v>
      </c>
      <c r="C2" s="8" t="e">
        <f>VLOOKUP(B2,'Draft-Paysheet May 2026'!$C$4:$AL$51,37,0)</f>
        <v>#REF!</v>
      </c>
      <c r="D2" s="7" t="s">
        <v>820</v>
      </c>
      <c r="E2" s="109"/>
      <c r="F2" s="7" t="s">
        <v>820</v>
      </c>
      <c r="G2" s="109" t="s">
        <v>57</v>
      </c>
    </row>
    <row r="3" spans="1:7" ht="14.25" customHeight="1">
      <c r="A3" s="37">
        <v>2</v>
      </c>
      <c r="B3" s="109" t="s">
        <v>60</v>
      </c>
      <c r="C3" s="8" t="e">
        <f>VLOOKUP(B3,'Draft-Paysheet May 2026'!$C$4:$AL$51,37,0)</f>
        <v>#REF!</v>
      </c>
      <c r="D3" s="7" t="s">
        <v>820</v>
      </c>
      <c r="E3" s="109"/>
      <c r="F3" s="7" t="s">
        <v>820</v>
      </c>
      <c r="G3" s="109" t="s">
        <v>69</v>
      </c>
    </row>
    <row r="4" spans="1:7" ht="14.25" customHeight="1">
      <c r="A4" s="37">
        <v>3</v>
      </c>
      <c r="B4" s="109" t="s">
        <v>72</v>
      </c>
      <c r="C4" s="8" t="e">
        <f>VLOOKUP(B4,'Draft-Paysheet May 2026'!$C$4:$AL$51,37,0)</f>
        <v>#REF!</v>
      </c>
      <c r="D4" s="7" t="s">
        <v>820</v>
      </c>
      <c r="E4" s="109"/>
      <c r="F4" s="7" t="s">
        <v>820</v>
      </c>
      <c r="G4" s="109" t="s">
        <v>82</v>
      </c>
    </row>
    <row r="5" spans="1:7" ht="14.25" customHeight="1">
      <c r="A5" s="37">
        <v>4</v>
      </c>
      <c r="B5" s="109" t="s">
        <v>85</v>
      </c>
      <c r="C5" s="8" t="e">
        <f>VLOOKUP(B5,'Draft-Paysheet May 2026'!$C$4:$AL$51,37,0)</f>
        <v>#REF!</v>
      </c>
      <c r="D5" s="7" t="s">
        <v>820</v>
      </c>
      <c r="E5" s="109"/>
      <c r="F5" s="7" t="s">
        <v>820</v>
      </c>
      <c r="G5" s="109" t="s">
        <v>95</v>
      </c>
    </row>
    <row r="6" spans="1:7" ht="14.25" customHeight="1">
      <c r="A6" s="37">
        <v>5</v>
      </c>
      <c r="B6" s="109" t="s">
        <v>98</v>
      </c>
      <c r="C6" s="8" t="e">
        <f>VLOOKUP(B6,'Draft-Paysheet May 2026'!$C$4:$AL$51,37,0)</f>
        <v>#REF!</v>
      </c>
      <c r="D6" s="7" t="s">
        <v>820</v>
      </c>
      <c r="E6" s="109"/>
      <c r="F6" s="7" t="s">
        <v>820</v>
      </c>
      <c r="G6" s="109" t="s">
        <v>106</v>
      </c>
    </row>
    <row r="7" spans="1:7" ht="14.25" customHeight="1">
      <c r="A7" s="37">
        <v>6</v>
      </c>
      <c r="B7" s="109" t="s">
        <v>109</v>
      </c>
      <c r="C7" s="8" t="e">
        <f>VLOOKUP(B7,'Draft-Paysheet May 2026'!$C$4:$AL$51,37,0)</f>
        <v>#REF!</v>
      </c>
      <c r="D7" s="7" t="s">
        <v>820</v>
      </c>
      <c r="E7" s="109"/>
      <c r="F7" s="7" t="s">
        <v>820</v>
      </c>
      <c r="G7" s="109" t="s">
        <v>117</v>
      </c>
    </row>
    <row r="8" spans="1:7" ht="14.25" customHeight="1">
      <c r="A8" s="37">
        <v>7</v>
      </c>
      <c r="B8" s="109" t="s">
        <v>120</v>
      </c>
      <c r="C8" s="8" t="e">
        <f>VLOOKUP(B8,'Draft-Paysheet May 2026'!$C$4:$AL$51,37,0)</f>
        <v>#N/A</v>
      </c>
      <c r="D8" s="7" t="s">
        <v>820</v>
      </c>
      <c r="E8" s="109"/>
      <c r="F8" s="7" t="s">
        <v>820</v>
      </c>
      <c r="G8" s="109" t="s">
        <v>129</v>
      </c>
    </row>
    <row r="9" spans="1:7" ht="14.25" customHeight="1">
      <c r="A9" s="37">
        <v>8</v>
      </c>
      <c r="B9" s="109" t="s">
        <v>132</v>
      </c>
      <c r="C9" s="8" t="e">
        <f>VLOOKUP(B9,'Draft-Paysheet May 2026'!$C$4:$AL$51,37,0)</f>
        <v>#REF!</v>
      </c>
      <c r="D9" s="7" t="s">
        <v>820</v>
      </c>
      <c r="E9" s="109"/>
      <c r="F9" s="7" t="s">
        <v>820</v>
      </c>
      <c r="G9" s="109" t="s">
        <v>142</v>
      </c>
    </row>
    <row r="10" spans="1:7" ht="14.25" customHeight="1">
      <c r="A10" s="37">
        <v>9</v>
      </c>
      <c r="B10" s="109" t="s">
        <v>151</v>
      </c>
      <c r="C10" s="8">
        <f>'Draft-Paysheet May 2026'!AL13</f>
        <v>42000</v>
      </c>
      <c r="D10" s="7" t="s">
        <v>820</v>
      </c>
      <c r="E10" s="109"/>
      <c r="F10" s="7" t="s">
        <v>820</v>
      </c>
      <c r="G10" s="109" t="s">
        <v>152</v>
      </c>
    </row>
    <row r="11" spans="1:7" ht="14.25" customHeight="1">
      <c r="A11" s="37">
        <v>10</v>
      </c>
      <c r="B11" s="109" t="s">
        <v>155</v>
      </c>
      <c r="C11" s="8" t="e">
        <f>VLOOKUP(B11,'Draft-Paysheet May 2026'!$C$4:$AL$51,37,0)</f>
        <v>#REF!</v>
      </c>
      <c r="D11" s="7" t="s">
        <v>820</v>
      </c>
      <c r="E11" s="109"/>
      <c r="F11" s="7" t="s">
        <v>820</v>
      </c>
      <c r="G11" s="109" t="s">
        <v>163</v>
      </c>
    </row>
    <row r="12" spans="1:7" ht="14.25" customHeight="1">
      <c r="A12" s="37">
        <v>11</v>
      </c>
      <c r="B12" s="109" t="s">
        <v>166</v>
      </c>
      <c r="C12" s="8" t="e">
        <f>VLOOKUP(B12,'Draft-Paysheet May 2026'!$C$4:$AL$51,37,0)</f>
        <v>#REF!</v>
      </c>
      <c r="D12" s="7" t="s">
        <v>820</v>
      </c>
      <c r="E12" s="109"/>
      <c r="F12" s="7" t="s">
        <v>820</v>
      </c>
      <c r="G12" s="109" t="s">
        <v>175</v>
      </c>
    </row>
    <row r="13" spans="1:7" ht="14.25" customHeight="1">
      <c r="A13" s="37">
        <v>12</v>
      </c>
      <c r="B13" s="109" t="s">
        <v>178</v>
      </c>
      <c r="C13" s="8" t="e">
        <f>VLOOKUP(B13,'Draft-Paysheet May 2026'!$C$4:$AL$51,37,0)</f>
        <v>#REF!</v>
      </c>
      <c r="D13" s="7" t="s">
        <v>820</v>
      </c>
      <c r="E13" s="109"/>
      <c r="F13" s="7" t="s">
        <v>820</v>
      </c>
      <c r="G13" s="109" t="s">
        <v>187</v>
      </c>
    </row>
    <row r="14" spans="1:7" ht="14.25" customHeight="1">
      <c r="A14" s="37">
        <v>13</v>
      </c>
      <c r="B14" s="109" t="s">
        <v>190</v>
      </c>
      <c r="C14" s="8" t="e">
        <f>VLOOKUP(B14,'Draft-Paysheet May 2026'!$C$4:$AL$51,37,0)</f>
        <v>#REF!</v>
      </c>
      <c r="D14" s="7" t="s">
        <v>820</v>
      </c>
      <c r="E14" s="109"/>
      <c r="F14" s="7" t="s">
        <v>820</v>
      </c>
      <c r="G14" s="109" t="s">
        <v>198</v>
      </c>
    </row>
    <row r="15" spans="1:7" ht="14.25" customHeight="1">
      <c r="A15" s="37">
        <v>14</v>
      </c>
      <c r="B15" s="109" t="s">
        <v>201</v>
      </c>
      <c r="C15" s="8" t="e">
        <f>VLOOKUP(B15,'Draft-Paysheet May 2026'!$C$4:$AL$51,37,0)</f>
        <v>#N/A</v>
      </c>
      <c r="D15" s="7" t="s">
        <v>820</v>
      </c>
      <c r="E15" s="109"/>
      <c r="F15" s="7" t="s">
        <v>820</v>
      </c>
      <c r="G15" s="109" t="s">
        <v>212</v>
      </c>
    </row>
    <row r="16" spans="1:7" ht="14.25" customHeight="1">
      <c r="A16" s="37">
        <v>15</v>
      </c>
      <c r="B16" s="109" t="s">
        <v>215</v>
      </c>
      <c r="C16" s="8" t="e">
        <f>VLOOKUP(B16,'Draft-Paysheet May 2026'!$C$4:$AL$51,37,0)</f>
        <v>#REF!</v>
      </c>
      <c r="D16" s="7" t="s">
        <v>820</v>
      </c>
      <c r="E16" s="109"/>
      <c r="F16" s="7" t="s">
        <v>820</v>
      </c>
      <c r="G16" s="109" t="s">
        <v>821</v>
      </c>
    </row>
    <row r="17" spans="1:7" ht="14.25" customHeight="1">
      <c r="A17" s="37">
        <v>16</v>
      </c>
      <c r="B17" s="109" t="s">
        <v>306</v>
      </c>
      <c r="C17" s="8" t="e">
        <f>VLOOKUP(B17,'Draft-Paysheet May 2026'!$C$4:$AL$51,37,0)</f>
        <v>#REF!</v>
      </c>
      <c r="D17" s="7" t="s">
        <v>820</v>
      </c>
      <c r="E17" s="109"/>
      <c r="F17" s="7" t="s">
        <v>820</v>
      </c>
      <c r="G17" s="109" t="s">
        <v>223</v>
      </c>
    </row>
    <row r="18" spans="1:7" ht="14.25" customHeight="1">
      <c r="A18" s="37">
        <v>17</v>
      </c>
      <c r="B18" s="109" t="s">
        <v>318</v>
      </c>
      <c r="C18" s="8" t="e">
        <f>VLOOKUP(B18,'Draft-Paysheet May 2026'!$C$4:$AL$51,37,0)</f>
        <v>#REF!</v>
      </c>
      <c r="D18" s="7" t="s">
        <v>820</v>
      </c>
      <c r="E18" s="109"/>
      <c r="F18" s="7" t="s">
        <v>820</v>
      </c>
      <c r="G18" s="109" t="s">
        <v>315</v>
      </c>
    </row>
    <row r="19" spans="1:7" ht="14.25" customHeight="1">
      <c r="A19" s="37">
        <v>18</v>
      </c>
      <c r="B19" s="109" t="s">
        <v>329</v>
      </c>
      <c r="C19" s="8" t="e">
        <f>VLOOKUP(B19,'Draft-Paysheet May 2026'!$C$4:$AL$51,37,0)</f>
        <v>#REF!</v>
      </c>
      <c r="D19" s="7" t="s">
        <v>820</v>
      </c>
      <c r="E19" s="109"/>
      <c r="F19" s="7" t="s">
        <v>820</v>
      </c>
      <c r="G19" s="109" t="s">
        <v>326</v>
      </c>
    </row>
    <row r="20" spans="1:7" ht="14.25" customHeight="1">
      <c r="A20" s="37">
        <v>19</v>
      </c>
      <c r="B20" s="109" t="s">
        <v>362</v>
      </c>
      <c r="C20" s="8" t="e">
        <f>VLOOKUP(B20,'Draft-Paysheet May 2026'!$C$4:$AL$51,37,0)</f>
        <v>#REF!</v>
      </c>
      <c r="D20" s="7" t="s">
        <v>820</v>
      </c>
      <c r="E20" s="109"/>
      <c r="F20" s="7" t="s">
        <v>820</v>
      </c>
      <c r="G20" s="109" t="s">
        <v>337</v>
      </c>
    </row>
    <row r="21" spans="1:7" ht="14.25" customHeight="1">
      <c r="A21" s="37">
        <v>20</v>
      </c>
      <c r="B21" s="109" t="s">
        <v>372</v>
      </c>
      <c r="C21" s="8" t="e">
        <f>VLOOKUP(B21,'Draft-Paysheet May 2026'!$C$4:$AL$51,37,0)</f>
        <v>#REF!</v>
      </c>
      <c r="D21" s="7" t="s">
        <v>820</v>
      </c>
      <c r="E21" s="109"/>
      <c r="F21" s="7" t="s">
        <v>820</v>
      </c>
      <c r="G21" s="109" t="s">
        <v>369</v>
      </c>
    </row>
    <row r="22" spans="1:7" ht="14.25" customHeight="1">
      <c r="A22" s="37">
        <v>21</v>
      </c>
      <c r="B22" s="109" t="s">
        <v>384</v>
      </c>
      <c r="C22" s="8" t="e">
        <f>VLOOKUP(B22,'Draft-Paysheet May 2026'!$C$4:$AL$51,37,0)</f>
        <v>#REF!</v>
      </c>
      <c r="D22" s="7" t="s">
        <v>820</v>
      </c>
      <c r="E22" s="109"/>
      <c r="F22" s="7" t="s">
        <v>820</v>
      </c>
      <c r="G22" s="109" t="s">
        <v>381</v>
      </c>
    </row>
    <row r="23" spans="1:7" ht="14.25" customHeight="1">
      <c r="A23" s="37">
        <v>22</v>
      </c>
      <c r="B23" s="109" t="s">
        <v>406</v>
      </c>
      <c r="C23" s="8" t="e">
        <f>VLOOKUP(B23,'Draft-Paysheet May 2026'!$C$4:$AL$51,37,0)</f>
        <v>#REF!</v>
      </c>
      <c r="D23" s="7" t="s">
        <v>820</v>
      </c>
      <c r="E23" s="109"/>
      <c r="F23" s="7" t="s">
        <v>820</v>
      </c>
      <c r="G23" s="109" t="s">
        <v>822</v>
      </c>
    </row>
    <row r="24" spans="1:7" ht="14.25" customHeight="1">
      <c r="A24" s="37">
        <v>23</v>
      </c>
      <c r="B24" s="109" t="s">
        <v>418</v>
      </c>
      <c r="C24" s="8" t="e">
        <f>VLOOKUP(B24,'Draft-Paysheet May 2026'!$C$4:$AL$51,37,0)</f>
        <v>#REF!</v>
      </c>
      <c r="D24" s="7" t="s">
        <v>820</v>
      </c>
      <c r="E24" s="109"/>
      <c r="F24" s="7" t="s">
        <v>820</v>
      </c>
      <c r="G24" s="109" t="s">
        <v>393</v>
      </c>
    </row>
    <row r="25" spans="1:7" ht="14.25" customHeight="1">
      <c r="A25" s="37">
        <v>24</v>
      </c>
      <c r="B25" s="109" t="s">
        <v>823</v>
      </c>
      <c r="C25" s="8" t="e">
        <f>VLOOKUP(B25,'Draft-Paysheet May 2026'!$C$4:$AL$51,37,0)</f>
        <v>#N/A</v>
      </c>
      <c r="D25" s="7" t="s">
        <v>820</v>
      </c>
      <c r="E25" s="109"/>
      <c r="F25" s="7" t="s">
        <v>820</v>
      </c>
      <c r="G25" s="109" t="s">
        <v>415</v>
      </c>
    </row>
    <row r="26" spans="1:7" ht="14.25" customHeight="1">
      <c r="A26" s="37">
        <v>25</v>
      </c>
      <c r="B26" s="109" t="s">
        <v>824</v>
      </c>
      <c r="C26" s="8" t="e">
        <f>VLOOKUP(B26,'Draft-Paysheet May 2026'!$C$4:$AL$51,37,0)</f>
        <v>#N/A</v>
      </c>
      <c r="D26" s="7" t="s">
        <v>820</v>
      </c>
      <c r="E26" s="109"/>
      <c r="F26" s="7" t="s">
        <v>820</v>
      </c>
      <c r="G26" s="109" t="s">
        <v>427</v>
      </c>
    </row>
    <row r="27" spans="1:7" ht="14.25" customHeight="1">
      <c r="A27" s="37">
        <v>26</v>
      </c>
      <c r="B27" s="109" t="s">
        <v>825</v>
      </c>
      <c r="C27" s="8" t="e">
        <f>VLOOKUP(B27,'Draft-Paysheet May 2026'!$C$4:$AL$51,37,0)</f>
        <v>#N/A</v>
      </c>
      <c r="D27" s="7" t="s">
        <v>820</v>
      </c>
      <c r="E27" s="109"/>
      <c r="F27" s="7" t="s">
        <v>820</v>
      </c>
      <c r="G27" s="109" t="s">
        <v>826</v>
      </c>
    </row>
    <row r="28" spans="1:7" ht="14.25" customHeight="1">
      <c r="A28" s="37">
        <v>27</v>
      </c>
      <c r="B28" s="109" t="s">
        <v>464</v>
      </c>
      <c r="C28" s="8" t="e">
        <f>VLOOKUP(B28,'Draft-Paysheet May 2026'!$C$4:$AL$51,37,0)</f>
        <v>#REF!</v>
      </c>
      <c r="D28" s="7" t="s">
        <v>820</v>
      </c>
      <c r="E28" s="109"/>
      <c r="F28" s="7" t="s">
        <v>820</v>
      </c>
      <c r="G28" s="109" t="s">
        <v>827</v>
      </c>
    </row>
    <row r="29" spans="1:7" ht="14.25" customHeight="1">
      <c r="A29" s="37">
        <v>28</v>
      </c>
      <c r="B29" s="109" t="s">
        <v>828</v>
      </c>
      <c r="C29" s="8" t="e">
        <f>VLOOKUP(B29,'Draft-Paysheet May 2026'!$C$4:$AL$51,37,0)</f>
        <v>#N/A</v>
      </c>
      <c r="D29" s="7" t="s">
        <v>820</v>
      </c>
      <c r="E29" s="109"/>
      <c r="F29" s="7" t="s">
        <v>820</v>
      </c>
      <c r="G29" s="109" t="s">
        <v>829</v>
      </c>
    </row>
    <row r="30" spans="1:7" ht="14.25" customHeight="1">
      <c r="A30" s="37">
        <v>29</v>
      </c>
      <c r="B30" s="109" t="s">
        <v>830</v>
      </c>
      <c r="C30" s="8" t="e">
        <f>VLOOKUP(B30,'Draft-Paysheet May 2026'!$C$4:$AL$51,37,0)</f>
        <v>#N/A</v>
      </c>
      <c r="D30" s="7" t="s">
        <v>820</v>
      </c>
      <c r="E30" s="109"/>
      <c r="F30" s="7" t="s">
        <v>820</v>
      </c>
      <c r="G30" s="109" t="s">
        <v>470</v>
      </c>
    </row>
    <row r="31" spans="1:7" ht="14.25" customHeight="1">
      <c r="A31" s="37">
        <v>30</v>
      </c>
      <c r="B31" s="109" t="s">
        <v>831</v>
      </c>
      <c r="C31" s="8" t="e">
        <f>VLOOKUP(B31,'Draft-Paysheet May 2026'!$C$4:$AL$51,37,0)</f>
        <v>#N/A</v>
      </c>
      <c r="D31" s="7" t="s">
        <v>820</v>
      </c>
      <c r="E31" s="109"/>
      <c r="F31" s="7" t="s">
        <v>820</v>
      </c>
      <c r="G31" s="109" t="s">
        <v>832</v>
      </c>
    </row>
    <row r="32" spans="1:7" ht="14.25" customHeight="1">
      <c r="A32" s="37">
        <v>31</v>
      </c>
      <c r="B32" s="109" t="s">
        <v>484</v>
      </c>
      <c r="C32" s="8" t="e">
        <f>VLOOKUP(B32,'Draft-Paysheet May 2026'!$C$4:$AL$51,37,0)</f>
        <v>#REF!</v>
      </c>
      <c r="D32" s="7" t="s">
        <v>820</v>
      </c>
      <c r="E32" s="109"/>
      <c r="F32" s="7" t="s">
        <v>820</v>
      </c>
      <c r="G32" s="109" t="s">
        <v>833</v>
      </c>
    </row>
    <row r="33" spans="1:7" ht="14.25" customHeight="1">
      <c r="A33" s="37">
        <v>32</v>
      </c>
      <c r="B33" s="109" t="s">
        <v>783</v>
      </c>
      <c r="C33" s="8" t="e">
        <f>VLOOKUP(B33,'Draft-Paysheet May 2026'!$C$4:$AL$51,37,0)</f>
        <v>#N/A</v>
      </c>
      <c r="D33" s="7" t="s">
        <v>820</v>
      </c>
      <c r="E33" s="109"/>
      <c r="F33" s="7" t="s">
        <v>820</v>
      </c>
      <c r="G33" s="109" t="s">
        <v>834</v>
      </c>
    </row>
    <row r="34" spans="1:7" ht="14.25" customHeight="1">
      <c r="A34" s="37">
        <v>33</v>
      </c>
      <c r="B34" s="109" t="s">
        <v>835</v>
      </c>
      <c r="C34" s="8" t="e">
        <f>VLOOKUP(B34,'Draft-Paysheet May 2026'!$C$4:$AL$51,37,0)</f>
        <v>#N/A</v>
      </c>
      <c r="D34" s="7" t="s">
        <v>820</v>
      </c>
      <c r="E34" s="109"/>
      <c r="F34" s="7" t="s">
        <v>820</v>
      </c>
      <c r="G34" s="109" t="s">
        <v>836</v>
      </c>
    </row>
    <row r="35" spans="1:7" ht="14.25" customHeight="1">
      <c r="A35" s="37">
        <v>34</v>
      </c>
      <c r="B35" s="109" t="s">
        <v>516</v>
      </c>
      <c r="C35" s="8" t="e">
        <f>VLOOKUP(B35,'Draft-Paysheet May 2026'!$C$4:$AL$51,37,0)</f>
        <v>#REF!</v>
      </c>
      <c r="D35" s="7" t="s">
        <v>820</v>
      </c>
      <c r="E35" s="109"/>
      <c r="F35" s="7" t="s">
        <v>820</v>
      </c>
      <c r="G35" s="109" t="s">
        <v>492</v>
      </c>
    </row>
    <row r="36" spans="1:7" ht="14.25" customHeight="1">
      <c r="A36" s="37">
        <v>35</v>
      </c>
      <c r="B36" s="109" t="s">
        <v>529</v>
      </c>
      <c r="C36" s="8" t="e">
        <f>VLOOKUP(B36,'Draft-Paysheet May 2026'!$C$4:$AL$51,37,0)</f>
        <v>#REF!</v>
      </c>
      <c r="D36" s="7" t="s">
        <v>820</v>
      </c>
      <c r="E36" s="109"/>
      <c r="F36" s="7" t="s">
        <v>820</v>
      </c>
      <c r="G36" s="109" t="s">
        <v>837</v>
      </c>
    </row>
    <row r="37" spans="1:7" ht="14.25" customHeight="1">
      <c r="A37" s="37">
        <v>36</v>
      </c>
      <c r="B37" s="109" t="s">
        <v>551</v>
      </c>
      <c r="C37" s="8" t="e">
        <f>VLOOKUP(B37,'Draft-Paysheet May 2026'!$C$4:$AL$51,37,0)</f>
        <v>#REF!</v>
      </c>
      <c r="D37" s="7" t="s">
        <v>820</v>
      </c>
      <c r="E37" s="109"/>
      <c r="F37" s="7" t="s">
        <v>820</v>
      </c>
      <c r="G37" s="109" t="s">
        <v>838</v>
      </c>
    </row>
    <row r="38" spans="1:7" ht="14.25" customHeight="1">
      <c r="A38" s="37">
        <v>37</v>
      </c>
      <c r="B38" s="109" t="s">
        <v>562</v>
      </c>
      <c r="C38" s="8" t="e">
        <f>VLOOKUP(B38,'Draft-Paysheet May 2026'!$C$4:$AL$51,37,0)</f>
        <v>#REF!</v>
      </c>
      <c r="D38" s="7" t="s">
        <v>820</v>
      </c>
      <c r="E38" s="109"/>
      <c r="F38" s="7" t="s">
        <v>820</v>
      </c>
      <c r="G38" s="109" t="s">
        <v>526</v>
      </c>
    </row>
    <row r="39" spans="1:7" ht="14.25" customHeight="1">
      <c r="A39" s="37">
        <v>38</v>
      </c>
      <c r="B39" s="109" t="s">
        <v>574</v>
      </c>
      <c r="C39" s="8" t="e">
        <f>VLOOKUP(B39,'Draft-Paysheet May 2026'!$C$4:$AL$51,37,0)</f>
        <v>#REF!</v>
      </c>
      <c r="D39" s="7" t="s">
        <v>820</v>
      </c>
      <c r="E39" s="109"/>
      <c r="F39" s="7" t="s">
        <v>820</v>
      </c>
      <c r="G39" s="109" t="s">
        <v>536</v>
      </c>
    </row>
    <row r="40" spans="1:7" ht="14.25" customHeight="1">
      <c r="A40" s="110">
        <v>39</v>
      </c>
      <c r="B40" s="111" t="s">
        <v>596</v>
      </c>
      <c r="C40" s="8" t="e">
        <f>VLOOKUP(B40,'Draft-Paysheet May 2026'!$C$4:$AL$51,37,0)</f>
        <v>#REF!</v>
      </c>
      <c r="D40" s="112" t="s">
        <v>820</v>
      </c>
      <c r="E40" s="111"/>
      <c r="F40" s="112" t="s">
        <v>820</v>
      </c>
      <c r="G40" s="111" t="s">
        <v>559</v>
      </c>
    </row>
    <row r="41" spans="1:7" ht="14.25" customHeight="1">
      <c r="A41" s="37">
        <v>40</v>
      </c>
      <c r="B41" s="7" t="s">
        <v>608</v>
      </c>
      <c r="C41" s="8" t="e">
        <f>VLOOKUP(B41,'Draft-Paysheet May 2026'!$C$4:$AL$51,37,0)</f>
        <v>#REF!</v>
      </c>
      <c r="D41" s="7" t="s">
        <v>820</v>
      </c>
      <c r="E41" s="109"/>
      <c r="F41" s="7" t="s">
        <v>820</v>
      </c>
      <c r="G41" s="109" t="s">
        <v>571</v>
      </c>
    </row>
    <row r="42" spans="1:7" ht="14.25" customHeight="1">
      <c r="A42" s="37">
        <v>41</v>
      </c>
      <c r="B42" s="7" t="s">
        <v>616</v>
      </c>
      <c r="C42" s="8" t="e">
        <f>VLOOKUP(B42,'Draft-Paysheet May 2026'!$C$4:$AL$51,37,0)</f>
        <v>#REF!</v>
      </c>
      <c r="D42" s="7" t="s">
        <v>820</v>
      </c>
      <c r="E42" s="109"/>
      <c r="F42" s="7" t="s">
        <v>820</v>
      </c>
      <c r="G42" s="7"/>
    </row>
    <row r="43" spans="1:7" ht="14.25" customHeight="1">
      <c r="A43" s="37">
        <v>42</v>
      </c>
      <c r="B43" s="7" t="s">
        <v>624</v>
      </c>
      <c r="C43" s="8" t="e">
        <f>VLOOKUP(B43,'Draft-Paysheet May 2026'!$C$4:$AL$51,37,0)</f>
        <v>#REF!</v>
      </c>
      <c r="D43" s="7" t="s">
        <v>820</v>
      </c>
      <c r="E43" s="109"/>
      <c r="F43" s="7" t="s">
        <v>820</v>
      </c>
      <c r="G43" s="7"/>
    </row>
    <row r="44" spans="1:7" ht="14.25" customHeight="1">
      <c r="A44" s="37"/>
      <c r="B44" s="7"/>
      <c r="C44" s="8"/>
      <c r="D44" s="7"/>
      <c r="E44" s="7"/>
      <c r="F44" s="7"/>
      <c r="G44" s="7"/>
    </row>
    <row r="45" spans="1:7" ht="14.25" customHeight="1">
      <c r="A45" s="113"/>
      <c r="B45" s="113" t="s">
        <v>839</v>
      </c>
      <c r="C45" s="114" t="e">
        <f>SUM(C2:C44)</f>
        <v>#REF!</v>
      </c>
      <c r="D45" s="113"/>
      <c r="E45" s="114"/>
      <c r="F45" s="113"/>
      <c r="G45" s="113"/>
    </row>
    <row r="46" spans="1:7" ht="14.25" customHeight="1">
      <c r="C46" s="2"/>
    </row>
    <row r="47" spans="1:7" ht="14.25" customHeight="1">
      <c r="C47" s="2"/>
    </row>
    <row r="48" spans="1:7" ht="14.25" customHeight="1">
      <c r="C48" s="2"/>
    </row>
    <row r="49" spans="3:3" ht="14.25" customHeight="1">
      <c r="C49" s="2"/>
    </row>
    <row r="50" spans="3:3" ht="14.25" customHeight="1">
      <c r="C50" s="2"/>
    </row>
    <row r="51" spans="3:3" ht="14.25" customHeight="1">
      <c r="C51" s="2"/>
    </row>
    <row r="52" spans="3:3" ht="14.25" customHeight="1">
      <c r="C52" s="2"/>
    </row>
    <row r="53" spans="3:3" ht="14.25" customHeight="1">
      <c r="C53" s="2"/>
    </row>
    <row r="54" spans="3:3" ht="14.25" customHeight="1">
      <c r="C54" s="2"/>
    </row>
    <row r="55" spans="3:3" ht="14.25" customHeight="1">
      <c r="C55" s="2"/>
    </row>
    <row r="56" spans="3:3" ht="14.25" customHeight="1">
      <c r="C56" s="2"/>
    </row>
    <row r="57" spans="3:3" ht="14.25" customHeight="1">
      <c r="C57" s="2"/>
    </row>
    <row r="58" spans="3:3" ht="14.25" customHeight="1">
      <c r="C58" s="2"/>
    </row>
    <row r="59" spans="3:3" ht="14.25" customHeight="1">
      <c r="C59" s="2"/>
    </row>
    <row r="60" spans="3:3" ht="14.25" customHeight="1">
      <c r="C60" s="2"/>
    </row>
    <row r="61" spans="3:3" ht="14.25" customHeight="1">
      <c r="C61" s="2"/>
    </row>
    <row r="62" spans="3:3" ht="14.25" customHeight="1">
      <c r="C62" s="2"/>
    </row>
    <row r="63" spans="3:3" ht="14.25" customHeight="1">
      <c r="C63" s="2"/>
    </row>
    <row r="64" spans="3:3" ht="14.25" customHeight="1">
      <c r="C64" s="2"/>
    </row>
    <row r="65" spans="3:3" ht="14.25" customHeight="1">
      <c r="C65" s="2"/>
    </row>
    <row r="66" spans="3:3" ht="14.25" customHeight="1">
      <c r="C66" s="2"/>
    </row>
    <row r="67" spans="3:3" ht="14.25" customHeight="1">
      <c r="C67" s="2"/>
    </row>
    <row r="68" spans="3:3" ht="14.25" customHeight="1">
      <c r="C68" s="2"/>
    </row>
    <row r="69" spans="3:3" ht="14.25" customHeight="1">
      <c r="C69" s="2"/>
    </row>
    <row r="70" spans="3:3" ht="14.25" customHeight="1">
      <c r="C70" s="2"/>
    </row>
    <row r="71" spans="3:3" ht="14.25" customHeight="1">
      <c r="C71" s="2"/>
    </row>
    <row r="72" spans="3:3" ht="14.25" customHeight="1">
      <c r="C72" s="2"/>
    </row>
    <row r="73" spans="3:3" ht="14.25" customHeight="1">
      <c r="C73" s="2"/>
    </row>
    <row r="74" spans="3:3" ht="14.25" customHeight="1">
      <c r="C74" s="2"/>
    </row>
    <row r="75" spans="3:3" ht="14.25" customHeight="1">
      <c r="C75" s="2"/>
    </row>
    <row r="76" spans="3:3" ht="14.25" customHeight="1">
      <c r="C76" s="2"/>
    </row>
    <row r="77" spans="3:3" ht="14.25" customHeight="1">
      <c r="C77" s="2"/>
    </row>
    <row r="78" spans="3:3" ht="14.25" customHeight="1">
      <c r="C78" s="2"/>
    </row>
    <row r="79" spans="3:3" ht="14.25" customHeight="1">
      <c r="C79" s="2"/>
    </row>
    <row r="80" spans="3:3" ht="14.25" customHeight="1">
      <c r="C80" s="2"/>
    </row>
    <row r="81" spans="3:3" ht="14.25" customHeight="1">
      <c r="C81" s="2"/>
    </row>
    <row r="82" spans="3:3" ht="14.25" customHeight="1">
      <c r="C82" s="2"/>
    </row>
    <row r="83" spans="3:3" ht="14.25" customHeight="1">
      <c r="C83" s="2"/>
    </row>
    <row r="84" spans="3:3" ht="14.25" customHeight="1">
      <c r="C84" s="2"/>
    </row>
    <row r="85" spans="3:3" ht="14.25" customHeight="1">
      <c r="C85" s="2"/>
    </row>
    <row r="86" spans="3:3" ht="14.25" customHeight="1">
      <c r="C86" s="2"/>
    </row>
    <row r="87" spans="3:3" ht="14.25" customHeight="1">
      <c r="C87" s="2"/>
    </row>
    <row r="88" spans="3:3" ht="14.25" customHeight="1">
      <c r="C88" s="2"/>
    </row>
    <row r="89" spans="3:3" ht="14.25" customHeight="1">
      <c r="C89" s="2"/>
    </row>
    <row r="90" spans="3:3" ht="14.25" customHeight="1">
      <c r="C90" s="2"/>
    </row>
    <row r="91" spans="3:3" ht="14.25" customHeight="1">
      <c r="C91" s="2"/>
    </row>
    <row r="92" spans="3:3" ht="14.25" customHeight="1">
      <c r="C92" s="2"/>
    </row>
    <row r="93" spans="3:3" ht="14.25" customHeight="1">
      <c r="C93" s="2"/>
    </row>
    <row r="94" spans="3:3" ht="14.25" customHeight="1">
      <c r="C94" s="2"/>
    </row>
    <row r="95" spans="3:3" ht="14.25" customHeight="1">
      <c r="C95" s="2"/>
    </row>
    <row r="96" spans="3:3" ht="14.25" customHeight="1">
      <c r="C96" s="2"/>
    </row>
    <row r="97" spans="3:3" ht="14.25" customHeight="1">
      <c r="C97" s="2"/>
    </row>
    <row r="98" spans="3:3" ht="14.25" customHeight="1">
      <c r="C98" s="2"/>
    </row>
    <row r="99" spans="3:3" ht="14.25" customHeight="1">
      <c r="C99" s="2"/>
    </row>
    <row r="100" spans="3:3" ht="14.25" customHeight="1">
      <c r="C100" s="2"/>
    </row>
    <row r="101" spans="3:3" ht="14.25" customHeight="1">
      <c r="C101" s="2"/>
    </row>
    <row r="102" spans="3:3" ht="14.25" customHeight="1">
      <c r="C102" s="2"/>
    </row>
    <row r="103" spans="3:3" ht="14.25" customHeight="1">
      <c r="C103" s="2"/>
    </row>
    <row r="104" spans="3:3" ht="14.25" customHeight="1">
      <c r="C104" s="2"/>
    </row>
    <row r="105" spans="3:3" ht="14.25" customHeight="1">
      <c r="C105" s="2"/>
    </row>
    <row r="106" spans="3:3" ht="14.25" customHeight="1">
      <c r="C106" s="2"/>
    </row>
    <row r="107" spans="3:3" ht="14.25" customHeight="1">
      <c r="C107" s="2"/>
    </row>
    <row r="108" spans="3:3" ht="14.25" customHeight="1">
      <c r="C108" s="2"/>
    </row>
    <row r="109" spans="3:3" ht="14.25" customHeight="1">
      <c r="C109" s="2"/>
    </row>
    <row r="110" spans="3:3" ht="14.25" customHeight="1">
      <c r="C110" s="2"/>
    </row>
    <row r="111" spans="3:3" ht="14.25" customHeight="1">
      <c r="C111" s="2"/>
    </row>
    <row r="112" spans="3:3" ht="14.25" customHeight="1">
      <c r="C112" s="2"/>
    </row>
    <row r="113" spans="3:3" ht="14.25" customHeight="1">
      <c r="C113" s="2"/>
    </row>
    <row r="114" spans="3:3" ht="14.25" customHeight="1">
      <c r="C114" s="2"/>
    </row>
    <row r="115" spans="3:3" ht="14.25" customHeight="1">
      <c r="C115" s="2"/>
    </row>
    <row r="116" spans="3:3" ht="14.25" customHeight="1">
      <c r="C116" s="2"/>
    </row>
    <row r="117" spans="3:3" ht="14.25" customHeight="1">
      <c r="C117" s="2"/>
    </row>
    <row r="118" spans="3:3" ht="14.25" customHeight="1">
      <c r="C118" s="2"/>
    </row>
    <row r="119" spans="3:3" ht="14.25" customHeight="1">
      <c r="C119" s="2"/>
    </row>
    <row r="120" spans="3:3" ht="14.25" customHeight="1">
      <c r="C120" s="2"/>
    </row>
    <row r="121" spans="3:3" ht="14.25" customHeight="1">
      <c r="C121" s="2"/>
    </row>
    <row r="122" spans="3:3" ht="14.25" customHeight="1">
      <c r="C122" s="2"/>
    </row>
    <row r="123" spans="3:3" ht="14.25" customHeight="1">
      <c r="C123" s="2"/>
    </row>
    <row r="124" spans="3:3" ht="14.25" customHeight="1">
      <c r="C124" s="2"/>
    </row>
    <row r="125" spans="3:3" ht="14.25" customHeight="1">
      <c r="C125" s="2"/>
    </row>
    <row r="126" spans="3:3" ht="14.25" customHeight="1">
      <c r="C126" s="2"/>
    </row>
    <row r="127" spans="3:3" ht="14.25" customHeight="1">
      <c r="C127" s="2"/>
    </row>
    <row r="128" spans="3:3" ht="14.25" customHeight="1">
      <c r="C128" s="2"/>
    </row>
    <row r="129" spans="3:3" ht="14.25" customHeight="1">
      <c r="C129" s="2"/>
    </row>
    <row r="130" spans="3:3" ht="14.25" customHeight="1">
      <c r="C130" s="2"/>
    </row>
    <row r="131" spans="3:3" ht="14.25" customHeight="1">
      <c r="C131" s="2"/>
    </row>
    <row r="132" spans="3:3" ht="14.25" customHeight="1">
      <c r="C132" s="2"/>
    </row>
    <row r="133" spans="3:3" ht="14.25" customHeight="1">
      <c r="C133" s="2"/>
    </row>
    <row r="134" spans="3:3" ht="14.25" customHeight="1">
      <c r="C134" s="2"/>
    </row>
    <row r="135" spans="3:3" ht="14.25" customHeight="1">
      <c r="C135" s="2"/>
    </row>
    <row r="136" spans="3:3" ht="14.25" customHeight="1">
      <c r="C136" s="2"/>
    </row>
    <row r="137" spans="3:3" ht="14.25" customHeight="1">
      <c r="C137" s="2"/>
    </row>
    <row r="138" spans="3:3" ht="14.25" customHeight="1">
      <c r="C138" s="2"/>
    </row>
    <row r="139" spans="3:3" ht="14.25" customHeight="1">
      <c r="C139" s="2"/>
    </row>
    <row r="140" spans="3:3" ht="14.25" customHeight="1">
      <c r="C140" s="2"/>
    </row>
    <row r="141" spans="3:3" ht="14.25" customHeight="1">
      <c r="C141" s="2"/>
    </row>
    <row r="142" spans="3:3" ht="14.25" customHeight="1">
      <c r="C142" s="2"/>
    </row>
    <row r="143" spans="3:3" ht="14.25" customHeight="1">
      <c r="C143" s="2"/>
    </row>
    <row r="144" spans="3:3" ht="14.25" customHeight="1">
      <c r="C144" s="2"/>
    </row>
    <row r="145" spans="3:3" ht="14.25" customHeight="1">
      <c r="C145" s="2"/>
    </row>
    <row r="146" spans="3:3" ht="14.25" customHeight="1">
      <c r="C146" s="2"/>
    </row>
    <row r="147" spans="3:3" ht="14.25" customHeight="1">
      <c r="C147" s="2"/>
    </row>
    <row r="148" spans="3:3" ht="14.25" customHeight="1">
      <c r="C148" s="2"/>
    </row>
    <row r="149" spans="3:3" ht="14.25" customHeight="1">
      <c r="C149" s="2"/>
    </row>
    <row r="150" spans="3:3" ht="14.25" customHeight="1">
      <c r="C150" s="2"/>
    </row>
    <row r="151" spans="3:3" ht="14.25" customHeight="1">
      <c r="C151" s="2"/>
    </row>
    <row r="152" spans="3:3" ht="14.25" customHeight="1">
      <c r="C152" s="2"/>
    </row>
    <row r="153" spans="3:3" ht="14.25" customHeight="1">
      <c r="C153" s="2"/>
    </row>
    <row r="154" spans="3:3" ht="14.25" customHeight="1">
      <c r="C154" s="2"/>
    </row>
    <row r="155" spans="3:3" ht="14.25" customHeight="1">
      <c r="C155" s="2"/>
    </row>
    <row r="156" spans="3:3" ht="14.25" customHeight="1">
      <c r="C156" s="2"/>
    </row>
    <row r="157" spans="3:3" ht="14.25" customHeight="1">
      <c r="C157" s="2"/>
    </row>
    <row r="158" spans="3:3" ht="14.25" customHeight="1">
      <c r="C158" s="2"/>
    </row>
    <row r="159" spans="3:3" ht="14.25" customHeight="1">
      <c r="C159" s="2"/>
    </row>
    <row r="160" spans="3:3" ht="14.25" customHeight="1">
      <c r="C160" s="2"/>
    </row>
    <row r="161" spans="3:3" ht="14.25" customHeight="1">
      <c r="C161" s="2"/>
    </row>
    <row r="162" spans="3:3" ht="14.25" customHeight="1">
      <c r="C162" s="2"/>
    </row>
    <row r="163" spans="3:3" ht="14.25" customHeight="1">
      <c r="C163" s="2"/>
    </row>
    <row r="164" spans="3:3" ht="14.25" customHeight="1">
      <c r="C164" s="2"/>
    </row>
    <row r="165" spans="3:3" ht="14.25" customHeight="1">
      <c r="C165" s="2"/>
    </row>
    <row r="166" spans="3:3" ht="14.25" customHeight="1">
      <c r="C166" s="2"/>
    </row>
    <row r="167" spans="3:3" ht="14.25" customHeight="1">
      <c r="C167" s="2"/>
    </row>
    <row r="168" spans="3:3" ht="14.25" customHeight="1">
      <c r="C168" s="2"/>
    </row>
    <row r="169" spans="3:3" ht="14.25" customHeight="1">
      <c r="C169" s="2"/>
    </row>
    <row r="170" spans="3:3" ht="14.25" customHeight="1">
      <c r="C170" s="2"/>
    </row>
    <row r="171" spans="3:3" ht="14.25" customHeight="1">
      <c r="C171" s="2"/>
    </row>
    <row r="172" spans="3:3" ht="14.25" customHeight="1">
      <c r="C172" s="2"/>
    </row>
    <row r="173" spans="3:3" ht="14.25" customHeight="1">
      <c r="C173" s="2"/>
    </row>
    <row r="174" spans="3:3" ht="14.25" customHeight="1">
      <c r="C174" s="2"/>
    </row>
    <row r="175" spans="3:3" ht="14.25" customHeight="1">
      <c r="C175" s="2"/>
    </row>
    <row r="176" spans="3:3" ht="14.25" customHeight="1">
      <c r="C176" s="2"/>
    </row>
    <row r="177" spans="3:3" ht="14.25" customHeight="1">
      <c r="C177" s="2"/>
    </row>
    <row r="178" spans="3:3" ht="14.25" customHeight="1">
      <c r="C178" s="2"/>
    </row>
    <row r="179" spans="3:3" ht="14.25" customHeight="1">
      <c r="C179" s="2"/>
    </row>
    <row r="180" spans="3:3" ht="14.25" customHeight="1">
      <c r="C180" s="2"/>
    </row>
    <row r="181" spans="3:3" ht="14.25" customHeight="1">
      <c r="C181" s="2"/>
    </row>
    <row r="182" spans="3:3" ht="14.25" customHeight="1">
      <c r="C182" s="2"/>
    </row>
    <row r="183" spans="3:3" ht="14.25" customHeight="1">
      <c r="C183" s="2"/>
    </row>
    <row r="184" spans="3:3" ht="14.25" customHeight="1">
      <c r="C184" s="2"/>
    </row>
    <row r="185" spans="3:3" ht="14.25" customHeight="1">
      <c r="C185" s="2"/>
    </row>
    <row r="186" spans="3:3" ht="14.25" customHeight="1">
      <c r="C186" s="2"/>
    </row>
    <row r="187" spans="3:3" ht="14.25" customHeight="1">
      <c r="C187" s="2"/>
    </row>
    <row r="188" spans="3:3" ht="14.25" customHeight="1">
      <c r="C188" s="2"/>
    </row>
    <row r="189" spans="3:3" ht="14.25" customHeight="1">
      <c r="C189" s="2"/>
    </row>
    <row r="190" spans="3:3" ht="14.25" customHeight="1">
      <c r="C190" s="2"/>
    </row>
    <row r="191" spans="3:3" ht="14.25" customHeight="1">
      <c r="C191" s="2"/>
    </row>
    <row r="192" spans="3:3" ht="14.25" customHeight="1">
      <c r="C192" s="2"/>
    </row>
    <row r="193" spans="3:3" ht="14.25" customHeight="1">
      <c r="C193" s="2"/>
    </row>
    <row r="194" spans="3:3" ht="14.25" customHeight="1">
      <c r="C194" s="2"/>
    </row>
    <row r="195" spans="3:3" ht="14.25" customHeight="1">
      <c r="C195" s="2"/>
    </row>
    <row r="196" spans="3:3" ht="14.25" customHeight="1">
      <c r="C196" s="2"/>
    </row>
    <row r="197" spans="3:3" ht="14.25" customHeight="1">
      <c r="C197" s="2"/>
    </row>
    <row r="198" spans="3:3" ht="14.25" customHeight="1">
      <c r="C198" s="2"/>
    </row>
    <row r="199" spans="3:3" ht="14.25" customHeight="1">
      <c r="C199" s="2"/>
    </row>
    <row r="200" spans="3:3" ht="14.25" customHeight="1">
      <c r="C200" s="2"/>
    </row>
    <row r="201" spans="3:3" ht="14.25" customHeight="1">
      <c r="C201" s="2"/>
    </row>
    <row r="202" spans="3:3" ht="14.25" customHeight="1">
      <c r="C202" s="2"/>
    </row>
    <row r="203" spans="3:3" ht="14.25" customHeight="1">
      <c r="C203" s="2"/>
    </row>
    <row r="204" spans="3:3" ht="14.25" customHeight="1">
      <c r="C204" s="2"/>
    </row>
    <row r="205" spans="3:3" ht="14.25" customHeight="1">
      <c r="C205" s="2"/>
    </row>
    <row r="206" spans="3:3" ht="14.25" customHeight="1">
      <c r="C206" s="2"/>
    </row>
    <row r="207" spans="3:3" ht="14.25" customHeight="1">
      <c r="C207" s="2"/>
    </row>
    <row r="208" spans="3:3" ht="14.25" customHeight="1">
      <c r="C208" s="2"/>
    </row>
    <row r="209" spans="3:3" ht="14.25" customHeight="1">
      <c r="C209" s="2"/>
    </row>
    <row r="210" spans="3:3" ht="14.25" customHeight="1">
      <c r="C210" s="2"/>
    </row>
    <row r="211" spans="3:3" ht="14.25" customHeight="1">
      <c r="C211" s="2"/>
    </row>
    <row r="212" spans="3:3" ht="14.25" customHeight="1">
      <c r="C212" s="2"/>
    </row>
    <row r="213" spans="3:3" ht="14.25" customHeight="1">
      <c r="C213" s="2"/>
    </row>
    <row r="214" spans="3:3" ht="14.25" customHeight="1">
      <c r="C214" s="2"/>
    </row>
    <row r="215" spans="3:3" ht="14.25" customHeight="1">
      <c r="C215" s="2"/>
    </row>
    <row r="216" spans="3:3" ht="14.25" customHeight="1">
      <c r="C216" s="2"/>
    </row>
    <row r="217" spans="3:3" ht="14.25" customHeight="1">
      <c r="C217" s="2"/>
    </row>
    <row r="218" spans="3:3" ht="14.25" customHeight="1">
      <c r="C218" s="2"/>
    </row>
    <row r="219" spans="3:3" ht="14.25" customHeight="1">
      <c r="C219" s="2"/>
    </row>
    <row r="220" spans="3:3" ht="14.25" customHeight="1">
      <c r="C220" s="2"/>
    </row>
    <row r="221" spans="3:3" ht="14.25" customHeight="1">
      <c r="C221" s="2"/>
    </row>
    <row r="222" spans="3:3" ht="14.25" customHeight="1">
      <c r="C222" s="2"/>
    </row>
    <row r="223" spans="3:3" ht="14.25" customHeight="1">
      <c r="C223" s="2"/>
    </row>
    <row r="224" spans="3:3" ht="14.25" customHeight="1">
      <c r="C224" s="2"/>
    </row>
    <row r="225" spans="3:3" ht="14.25" customHeight="1">
      <c r="C225" s="2"/>
    </row>
    <row r="226" spans="3:3" ht="14.25" customHeight="1">
      <c r="C226" s="2"/>
    </row>
    <row r="227" spans="3:3" ht="14.25" customHeight="1">
      <c r="C227" s="2"/>
    </row>
    <row r="228" spans="3:3" ht="14.25" customHeight="1">
      <c r="C228" s="2"/>
    </row>
    <row r="229" spans="3:3" ht="14.25" customHeight="1">
      <c r="C229" s="2"/>
    </row>
    <row r="230" spans="3:3" ht="14.25" customHeight="1">
      <c r="C230" s="2"/>
    </row>
    <row r="231" spans="3:3" ht="14.25" customHeight="1">
      <c r="C231" s="2"/>
    </row>
    <row r="232" spans="3:3" ht="14.25" customHeight="1">
      <c r="C232" s="2"/>
    </row>
    <row r="233" spans="3:3" ht="14.25" customHeight="1">
      <c r="C233" s="2"/>
    </row>
    <row r="234" spans="3:3" ht="14.25" customHeight="1">
      <c r="C234" s="2"/>
    </row>
    <row r="235" spans="3:3" ht="14.25" customHeight="1">
      <c r="C235" s="2"/>
    </row>
    <row r="236" spans="3:3" ht="14.25" customHeight="1">
      <c r="C236" s="2"/>
    </row>
    <row r="237" spans="3:3" ht="14.25" customHeight="1">
      <c r="C237" s="2"/>
    </row>
    <row r="238" spans="3:3" ht="14.25" customHeight="1">
      <c r="C238" s="2"/>
    </row>
    <row r="239" spans="3:3" ht="14.25" customHeight="1">
      <c r="C239" s="2"/>
    </row>
    <row r="240" spans="3:3" ht="14.25" customHeight="1">
      <c r="C240" s="2"/>
    </row>
    <row r="241" spans="3:3" ht="14.25" customHeight="1">
      <c r="C241" s="2"/>
    </row>
    <row r="242" spans="3:3" ht="14.25" customHeight="1">
      <c r="C242" s="2"/>
    </row>
    <row r="243" spans="3:3" ht="14.25" customHeight="1">
      <c r="C243" s="2"/>
    </row>
    <row r="244" spans="3:3" ht="14.25" customHeight="1">
      <c r="C244" s="2"/>
    </row>
    <row r="245" spans="3:3" ht="14.25" customHeight="1">
      <c r="C245" s="2"/>
    </row>
    <row r="246" spans="3:3" ht="15.75" customHeight="1"/>
    <row r="247" spans="3:3" ht="15.75" customHeight="1"/>
    <row r="248" spans="3:3" ht="15.75" customHeight="1"/>
    <row r="249" spans="3:3" ht="15.75" customHeight="1"/>
    <row r="250" spans="3:3" ht="15.75" customHeight="1"/>
    <row r="251" spans="3:3" ht="15.75" customHeight="1"/>
    <row r="252" spans="3:3" ht="15.75" customHeight="1"/>
    <row r="253" spans="3:3" ht="15.75" customHeight="1"/>
    <row r="254" spans="3:3" ht="15.75" customHeight="1"/>
    <row r="255" spans="3:3" ht="15.75" customHeight="1"/>
    <row r="256" spans="3:3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/>
  </sheetViews>
  <sheetFormatPr defaultColWidth="14.42578125" defaultRowHeight="15" customHeight="1"/>
  <cols>
    <col min="1" max="1" width="6.7109375" customWidth="1"/>
    <col min="2" max="2" width="15" customWidth="1"/>
    <col min="3" max="3" width="26.5703125" customWidth="1"/>
    <col min="4" max="4" width="26.5703125" hidden="1" customWidth="1"/>
    <col min="5" max="5" width="12.5703125" customWidth="1"/>
    <col min="6" max="11" width="8.7109375" customWidth="1"/>
  </cols>
  <sheetData>
    <row r="1" spans="1:5" ht="14.25" customHeight="1">
      <c r="E1" s="2"/>
    </row>
    <row r="2" spans="1:5" ht="14.25" customHeight="1">
      <c r="A2" s="3" t="s">
        <v>840</v>
      </c>
      <c r="B2" s="3" t="s">
        <v>3</v>
      </c>
      <c r="C2" s="3" t="s">
        <v>4</v>
      </c>
      <c r="D2" s="3" t="s">
        <v>841</v>
      </c>
      <c r="E2" s="4" t="s">
        <v>842</v>
      </c>
    </row>
    <row r="3" spans="1:5" ht="14.25" customHeight="1">
      <c r="A3" s="7"/>
      <c r="B3" s="7"/>
      <c r="C3" s="7"/>
      <c r="D3" s="7"/>
      <c r="E3" s="8"/>
    </row>
    <row r="4" spans="1:5" ht="14.25" customHeight="1">
      <c r="A4" s="7">
        <v>1</v>
      </c>
      <c r="B4" s="7" t="s">
        <v>226</v>
      </c>
      <c r="C4" s="7" t="s">
        <v>227</v>
      </c>
      <c r="D4" s="7" t="str">
        <f>VLOOKUP(C4,'Draft-Paysheet May 2026'!$C$4:$Q$51,15,0)</f>
        <v>50100446028500</v>
      </c>
      <c r="E4" s="8" t="e">
        <f>VLOOKUP(C4,'Draft-Paysheet May 2026'!$C$4:$AL$51,37,0)</f>
        <v>#REF!</v>
      </c>
    </row>
    <row r="5" spans="1:5" ht="14.25" customHeight="1">
      <c r="A5" s="7">
        <v>2</v>
      </c>
      <c r="B5" s="7" t="s">
        <v>237</v>
      </c>
      <c r="C5" s="7" t="s">
        <v>238</v>
      </c>
      <c r="D5" s="7" t="e">
        <f>VLOOKUP(C5,'Draft-Paysheet May 2026'!$C$4:$Q$51,15,0)</f>
        <v>#N/A</v>
      </c>
      <c r="E5" s="8" t="e">
        <f>VLOOKUP(C5,'Draft-Paysheet May 2026'!$C$4:$AL$51,37,0)</f>
        <v>#N/A</v>
      </c>
    </row>
    <row r="6" spans="1:5" ht="14.25" customHeight="1">
      <c r="A6" s="7">
        <v>3</v>
      </c>
      <c r="B6" s="7" t="s">
        <v>247</v>
      </c>
      <c r="C6" s="7" t="s">
        <v>248</v>
      </c>
      <c r="D6" s="7" t="str">
        <f>VLOOKUP(C6,'Draft-Paysheet May 2026'!$C$4:$Q$51,15,0)</f>
        <v>50100151532802</v>
      </c>
      <c r="E6" s="8" t="e">
        <f>VLOOKUP(C6,'Draft-Paysheet May 2026'!$C$4:$AL$51,37,0)</f>
        <v>#REF!</v>
      </c>
    </row>
    <row r="7" spans="1:5" ht="14.25" customHeight="1">
      <c r="A7" s="7">
        <v>4</v>
      </c>
      <c r="B7" s="7" t="s">
        <v>258</v>
      </c>
      <c r="C7" s="7" t="s">
        <v>259</v>
      </c>
      <c r="D7" s="7" t="e">
        <f>VLOOKUP(C7,'Draft-Paysheet May 2026'!$C$4:$Q$51,15,0)</f>
        <v>#N/A</v>
      </c>
      <c r="E7" s="8" t="e">
        <f>VLOOKUP(C7,'Draft-Paysheet May 2026'!$C$4:$AL$51,37,0)</f>
        <v>#N/A</v>
      </c>
    </row>
    <row r="8" spans="1:5" ht="14.25" customHeight="1">
      <c r="A8" s="7">
        <v>5</v>
      </c>
      <c r="B8" s="7" t="s">
        <v>268</v>
      </c>
      <c r="C8" s="7" t="s">
        <v>269</v>
      </c>
      <c r="D8" s="7" t="e">
        <f>VLOOKUP(C8,'Draft-Paysheet May 2026'!$C$4:$Q$51,15,0)</f>
        <v>#N/A</v>
      </c>
      <c r="E8" s="8" t="e">
        <f>VLOOKUP(C8,'Draft-Paysheet May 2026'!$C$4:$AL$51,37,0)</f>
        <v>#N/A</v>
      </c>
    </row>
    <row r="9" spans="1:5" ht="14.25" customHeight="1">
      <c r="A9" s="7">
        <v>6</v>
      </c>
      <c r="B9" s="7" t="s">
        <v>279</v>
      </c>
      <c r="C9" s="7" t="s">
        <v>280</v>
      </c>
      <c r="D9" s="7" t="str">
        <f>VLOOKUP(C9,'Draft-Paysheet May 2026'!$C$4:$Q$51,15,0)</f>
        <v>50100754820324</v>
      </c>
      <c r="E9" s="8" t="e">
        <f>VLOOKUP(C9,'Draft-Paysheet May 2026'!$C$4:$AL$51,37,0)</f>
        <v>#REF!</v>
      </c>
    </row>
    <row r="10" spans="1:5" ht="14.25" customHeight="1">
      <c r="A10" s="7">
        <v>7</v>
      </c>
      <c r="B10" s="7" t="s">
        <v>295</v>
      </c>
      <c r="C10" s="7" t="s">
        <v>296</v>
      </c>
      <c r="D10" s="7" t="str">
        <f>VLOOKUP(C10,'Draft-Paysheet May 2026'!$C$4:$Q$51,15,0)</f>
        <v>50100067622091</v>
      </c>
      <c r="E10" s="8" t="e">
        <f>VLOOKUP(C10,'Draft-Paysheet May 2026'!$C$4:$AL$51,37,0)</f>
        <v>#REF!</v>
      </c>
    </row>
    <row r="11" spans="1:5" ht="14.25" customHeight="1">
      <c r="A11" s="7">
        <v>8</v>
      </c>
      <c r="B11" s="7" t="s">
        <v>751</v>
      </c>
      <c r="C11" s="7" t="s">
        <v>843</v>
      </c>
      <c r="D11" s="7" t="e">
        <f>VLOOKUP(C11,'Draft-Paysheet May 2026'!$C$4:$Q$51,15,0)</f>
        <v>#N/A</v>
      </c>
      <c r="E11" s="8" t="e">
        <f>VLOOKUP(C11,'Draft-Paysheet May 2026'!$C$4:$AL$51,37,0)</f>
        <v>#N/A</v>
      </c>
    </row>
    <row r="12" spans="1:5" ht="14.25" customHeight="1">
      <c r="A12" s="7">
        <v>9</v>
      </c>
      <c r="B12" s="7" t="s">
        <v>844</v>
      </c>
      <c r="C12" s="7" t="s">
        <v>845</v>
      </c>
      <c r="D12" s="7" t="e">
        <f>VLOOKUP(C12,'Draft-Paysheet May 2026'!$C$4:$Q$51,15,0)</f>
        <v>#N/A</v>
      </c>
      <c r="E12" s="8" t="e">
        <f>VLOOKUP(C12,'Draft-Paysheet May 2026'!$C$4:$AL$51,37,0)</f>
        <v>#N/A</v>
      </c>
    </row>
    <row r="13" spans="1:5" ht="14.25" customHeight="1">
      <c r="A13" s="7">
        <v>10</v>
      </c>
      <c r="B13" s="7" t="s">
        <v>846</v>
      </c>
      <c r="C13" s="7" t="s">
        <v>847</v>
      </c>
      <c r="D13" s="7" t="e">
        <f>VLOOKUP(C13,'Draft-Paysheet May 2026'!$C$4:$Q$51,15,0)</f>
        <v>#N/A</v>
      </c>
      <c r="E13" s="8" t="e">
        <f>VLOOKUP(C13,'Draft-Paysheet May 2026'!$C$4:$AL$51,37,0)</f>
        <v>#N/A</v>
      </c>
    </row>
    <row r="14" spans="1:5" ht="14.25" customHeight="1">
      <c r="A14" s="7">
        <v>11</v>
      </c>
      <c r="B14" s="7" t="s">
        <v>848</v>
      </c>
      <c r="C14" s="7" t="s">
        <v>849</v>
      </c>
      <c r="D14" s="7" t="e">
        <f>VLOOKUP(C14,'Draft-Paysheet May 2026'!$C$4:$Q$51,15,0)</f>
        <v>#N/A</v>
      </c>
      <c r="E14" s="8" t="e">
        <f>VLOOKUP(C14,'Draft-Paysheet May 2026'!$C$4:$AL$51,37,0)</f>
        <v>#N/A</v>
      </c>
    </row>
    <row r="15" spans="1:5" ht="14.25" customHeight="1">
      <c r="A15" s="7">
        <v>12</v>
      </c>
      <c r="B15" s="7" t="s">
        <v>339</v>
      </c>
      <c r="C15" s="7" t="s">
        <v>340</v>
      </c>
      <c r="D15" s="7" t="str">
        <f>VLOOKUP(C15,'Draft-Paysheet May 2026'!$C$4:$Q$51,15,0)</f>
        <v>50100255004836</v>
      </c>
      <c r="E15" s="8" t="e">
        <f>VLOOKUP(C15,'Draft-Paysheet May 2026'!$C$4:$AL$51,37,0)</f>
        <v>#REF!</v>
      </c>
    </row>
    <row r="16" spans="1:5" ht="14.25" customHeight="1">
      <c r="A16" s="7">
        <v>13</v>
      </c>
      <c r="B16" s="7" t="s">
        <v>351</v>
      </c>
      <c r="C16" s="7" t="s">
        <v>352</v>
      </c>
      <c r="D16" s="7" t="str">
        <f>VLOOKUP(C16,'Draft-Paysheet May 2026'!$C$4:$Q$51,15,0)</f>
        <v>50100262389811</v>
      </c>
      <c r="E16" s="8" t="e">
        <f>VLOOKUP(C16,'Draft-Paysheet May 2026'!$C$4:$AL$51,37,0)</f>
        <v>#REF!</v>
      </c>
    </row>
    <row r="17" spans="1:11" ht="14.25" customHeight="1">
      <c r="A17" s="7">
        <v>14</v>
      </c>
      <c r="B17" s="7" t="s">
        <v>395</v>
      </c>
      <c r="C17" s="7" t="s">
        <v>396</v>
      </c>
      <c r="D17" s="7" t="str">
        <f>VLOOKUP(C17,'Draft-Paysheet May 2026'!$C$4:$Q$51,15,0)</f>
        <v>50100683165229</v>
      </c>
      <c r="E17" s="8" t="e">
        <f>VLOOKUP(C17,'Draft-Paysheet May 2026'!$C$4:$AL$51,37,0)</f>
        <v>#REF!</v>
      </c>
    </row>
    <row r="18" spans="1:11" ht="14.25" customHeight="1">
      <c r="A18" s="7">
        <v>15</v>
      </c>
      <c r="B18" s="7" t="s">
        <v>850</v>
      </c>
      <c r="C18" s="7" t="s">
        <v>851</v>
      </c>
      <c r="D18" s="7" t="e">
        <f>VLOOKUP(C18,'Draft-Paysheet May 2026'!$C$4:$Q$51,15,0)</f>
        <v>#N/A</v>
      </c>
      <c r="E18" s="8" t="e">
        <f>VLOOKUP(C18,'Draft-Paysheet May 2026'!$C$4:$AL$51,37,0)</f>
        <v>#N/A</v>
      </c>
    </row>
    <row r="19" spans="1:11" ht="14.25" customHeight="1">
      <c r="A19" s="7">
        <v>16</v>
      </c>
      <c r="B19" s="7" t="s">
        <v>769</v>
      </c>
      <c r="C19" s="7" t="s">
        <v>770</v>
      </c>
      <c r="D19" s="7" t="e">
        <f>VLOOKUP(C19,'Draft-Paysheet May 2026'!$C$4:$Q$51,15,0)</f>
        <v>#N/A</v>
      </c>
      <c r="E19" s="8" t="e">
        <f>VLOOKUP(C19,'Draft-Paysheet May 2026'!$C$4:$AL$51,37,0)</f>
        <v>#N/A</v>
      </c>
    </row>
    <row r="20" spans="1:11" ht="14.25" customHeight="1">
      <c r="A20" s="7">
        <v>17</v>
      </c>
      <c r="B20" s="7" t="s">
        <v>429</v>
      </c>
      <c r="C20" s="7" t="s">
        <v>430</v>
      </c>
      <c r="D20" s="7" t="str">
        <f>VLOOKUP(C20,'Draft-Paysheet May 2026'!$C$4:$Q$51,15,0)</f>
        <v>50100461863868</v>
      </c>
      <c r="E20" s="8" t="e">
        <f>VLOOKUP(C20,'Draft-Paysheet May 2026'!$C$4:$AL$51,37,0)</f>
        <v>#REF!</v>
      </c>
    </row>
    <row r="21" spans="1:11" ht="14.25" customHeight="1">
      <c r="A21" s="7">
        <v>18</v>
      </c>
      <c r="B21" s="7" t="s">
        <v>441</v>
      </c>
      <c r="C21" s="7" t="s">
        <v>442</v>
      </c>
      <c r="D21" s="7" t="str">
        <f>VLOOKUP(C21,'Draft-Paysheet May 2026'!$C$4:$Q$51,15,0)</f>
        <v>12281050015374</v>
      </c>
      <c r="E21" s="8" t="e">
        <f>VLOOKUP(C21,'Draft-Paysheet May 2026'!$C$4:$AL$51,37,0)</f>
        <v>#REF!</v>
      </c>
    </row>
    <row r="22" spans="1:11" ht="14.25" customHeight="1">
      <c r="A22" s="7">
        <v>19</v>
      </c>
      <c r="B22" s="7" t="s">
        <v>453</v>
      </c>
      <c r="C22" s="7" t="s">
        <v>454</v>
      </c>
      <c r="D22" s="7" t="str">
        <f>VLOOKUP(C22,'Draft-Paysheet May 2026'!$C$4:$Q$51,15,0)</f>
        <v>50100197657364</v>
      </c>
      <c r="E22" s="8" t="e">
        <f>VLOOKUP(C22,'Draft-Paysheet May 2026'!$C$4:$AL$51,37,0)</f>
        <v>#REF!</v>
      </c>
    </row>
    <row r="23" spans="1:11" ht="14.25" customHeight="1">
      <c r="A23" s="7">
        <v>20</v>
      </c>
      <c r="B23" s="7" t="s">
        <v>472</v>
      </c>
      <c r="C23" s="7" t="s">
        <v>473</v>
      </c>
      <c r="D23" s="7" t="str">
        <f>VLOOKUP(C23,'Draft-Paysheet May 2026'!$C$4:$Q$51,15,0)</f>
        <v>50100286871518</v>
      </c>
      <c r="E23" s="8" t="e">
        <f>VLOOKUP(C23,'Draft-Paysheet May 2026'!$C$4:$AL$51,37,0)</f>
        <v>#REF!</v>
      </c>
    </row>
    <row r="24" spans="1:11" ht="14.25" customHeight="1">
      <c r="A24" s="7">
        <v>21</v>
      </c>
      <c r="B24" s="7" t="s">
        <v>494</v>
      </c>
      <c r="C24" s="7" t="s">
        <v>495</v>
      </c>
      <c r="D24" s="7" t="str">
        <f>VLOOKUP(C24,'Draft-Paysheet May 2026'!$C$4:$Q$51,15,0)</f>
        <v>50100744847754</v>
      </c>
      <c r="E24" s="8" t="e">
        <f>VLOOKUP(C24,'Draft-Paysheet May 2026'!$C$4:$AL$51,37,0)</f>
        <v>#REF!</v>
      </c>
    </row>
    <row r="25" spans="1:11" ht="14.25" customHeight="1">
      <c r="A25" s="7">
        <v>22</v>
      </c>
      <c r="B25" s="7" t="s">
        <v>504</v>
      </c>
      <c r="C25" s="7" t="s">
        <v>505</v>
      </c>
      <c r="D25" s="7" t="str">
        <f>VLOOKUP(C25,'Draft-Paysheet May 2026'!$C$4:$Q$51,15,0)</f>
        <v>50100485721253</v>
      </c>
      <c r="E25" s="8" t="e">
        <f>VLOOKUP(C25,'Draft-Paysheet May 2026'!$C$4:$AL$51,37,0)</f>
        <v>#REF!</v>
      </c>
    </row>
    <row r="26" spans="1:11" ht="14.25" customHeight="1">
      <c r="A26" s="7">
        <v>23</v>
      </c>
      <c r="B26" s="7" t="s">
        <v>538</v>
      </c>
      <c r="C26" s="7" t="s">
        <v>539</v>
      </c>
      <c r="D26" s="7" t="str">
        <f>VLOOKUP(C26,'Draft-Paysheet May 2026'!$C$4:$Q$51,15,0)</f>
        <v>50100403118930</v>
      </c>
      <c r="E26" s="8" t="e">
        <f>VLOOKUP(C26,'Draft-Paysheet May 2026'!$C$4:$AL$51,37,0)</f>
        <v>#REF!</v>
      </c>
    </row>
    <row r="27" spans="1:11" ht="14.25" customHeight="1">
      <c r="A27" s="7">
        <v>24</v>
      </c>
      <c r="B27" s="7" t="s">
        <v>852</v>
      </c>
      <c r="C27" s="7" t="s">
        <v>853</v>
      </c>
      <c r="D27" s="7" t="e">
        <f>VLOOKUP(C27,'Draft-Paysheet May 2026'!$C$4:$Q$51,15,0)</f>
        <v>#N/A</v>
      </c>
      <c r="E27" s="8" t="e">
        <f>VLOOKUP(C27,'Draft-Paysheet May 2026'!$C$4:$AL$51,37,0)</f>
        <v>#N/A</v>
      </c>
    </row>
    <row r="28" spans="1:11" ht="14.25" customHeight="1">
      <c r="A28" s="7">
        <v>25</v>
      </c>
      <c r="B28" s="7" t="s">
        <v>584</v>
      </c>
      <c r="C28" s="7" t="s">
        <v>585</v>
      </c>
      <c r="D28" s="7" t="str">
        <f>VLOOKUP(C28,'Draft-Paysheet May 2026'!$C$4:$Q$51,15,0)</f>
        <v>50100810089015</v>
      </c>
      <c r="E28" s="8" t="e">
        <f>VLOOKUP(C28,'Draft-Paysheet May 2026'!$C$4:$AL$51,37,0)</f>
        <v>#REF!</v>
      </c>
      <c r="K28" s="13">
        <f>20000</f>
        <v>20000</v>
      </c>
    </row>
    <row r="29" spans="1:11" ht="14.25" customHeight="1">
      <c r="A29" s="7">
        <v>26</v>
      </c>
      <c r="B29" s="7" t="s">
        <v>854</v>
      </c>
      <c r="C29" s="7" t="s">
        <v>855</v>
      </c>
      <c r="D29" s="7" t="e">
        <f>VLOOKUP(C29,'Draft-Paysheet May 2026'!$C$4:$Q$51,15,0)</f>
        <v>#N/A</v>
      </c>
      <c r="E29" s="8" t="e">
        <f>VLOOKUP(C29,'Draft-Paysheet May 2026'!$C$4:$AL$51,37,0)</f>
        <v>#N/A</v>
      </c>
      <c r="K29" s="13">
        <f>K28/30*4</f>
        <v>2666.6666666666665</v>
      </c>
    </row>
    <row r="30" spans="1:11" ht="14.25" customHeight="1">
      <c r="A30" s="7">
        <v>27</v>
      </c>
      <c r="B30" s="7" t="s">
        <v>856</v>
      </c>
      <c r="C30" s="7" t="s">
        <v>857</v>
      </c>
      <c r="D30" s="7" t="e">
        <f>VLOOKUP(C30,'Draft-Paysheet May 2026'!$C$4:$Q$51,15,0)</f>
        <v>#N/A</v>
      </c>
      <c r="E30" s="8" t="e">
        <f>VLOOKUP(C30,'Draft-Paysheet May 2026'!$C$4:$AL$51,37,0)</f>
        <v>#N/A</v>
      </c>
      <c r="K30" s="13">
        <f>SUM(K28:K29)</f>
        <v>22666.666666666668</v>
      </c>
    </row>
    <row r="31" spans="1:11" ht="14.25" customHeight="1">
      <c r="A31" s="7">
        <v>28</v>
      </c>
      <c r="B31" s="7"/>
      <c r="C31" s="7" t="s">
        <v>858</v>
      </c>
      <c r="D31" s="7"/>
      <c r="E31" s="8">
        <v>22667</v>
      </c>
    </row>
    <row r="32" spans="1:11" ht="14.25" customHeight="1">
      <c r="E32" s="2"/>
    </row>
    <row r="33" spans="1:5" ht="14.25" customHeight="1">
      <c r="A33" s="113"/>
      <c r="B33" s="113"/>
      <c r="C33" s="113" t="s">
        <v>839</v>
      </c>
      <c r="D33" s="113"/>
      <c r="E33" s="114" t="e">
        <f>SUM(E4:E32)</f>
        <v>#REF!</v>
      </c>
    </row>
    <row r="34" spans="1:5" ht="14.25" customHeight="1">
      <c r="E34" s="2"/>
    </row>
    <row r="35" spans="1:5" ht="14.25" customHeight="1">
      <c r="E35" s="2"/>
    </row>
    <row r="36" spans="1:5" ht="14.25" customHeight="1">
      <c r="E36" s="2"/>
    </row>
    <row r="37" spans="1:5" ht="14.25" customHeight="1">
      <c r="E37" s="2"/>
    </row>
    <row r="38" spans="1:5" ht="14.25" customHeight="1">
      <c r="E38" s="2"/>
    </row>
    <row r="39" spans="1:5" ht="14.25" customHeight="1">
      <c r="E39" s="2"/>
    </row>
    <row r="40" spans="1:5" ht="14.25" customHeight="1">
      <c r="E40" s="2"/>
    </row>
    <row r="41" spans="1:5" ht="14.25" customHeight="1">
      <c r="E41" s="2"/>
    </row>
    <row r="42" spans="1:5" ht="14.25" customHeight="1">
      <c r="E42" s="2"/>
    </row>
    <row r="43" spans="1:5" ht="14.25" customHeight="1">
      <c r="E43" s="2"/>
    </row>
    <row r="44" spans="1:5" ht="14.25" customHeight="1">
      <c r="E44" s="2"/>
    </row>
    <row r="45" spans="1:5" ht="14.25" customHeight="1">
      <c r="E45" s="2"/>
    </row>
    <row r="46" spans="1:5" ht="14.25" customHeight="1">
      <c r="E46" s="2"/>
    </row>
    <row r="47" spans="1:5" ht="14.25" customHeight="1">
      <c r="E47" s="2"/>
    </row>
    <row r="48" spans="1:5" ht="14.25" customHeight="1">
      <c r="E48" s="2"/>
    </row>
    <row r="49" spans="5:5" ht="14.25" customHeight="1">
      <c r="E49" s="2"/>
    </row>
    <row r="50" spans="5:5" ht="14.25" customHeight="1">
      <c r="E50" s="2"/>
    </row>
    <row r="51" spans="5:5" ht="14.25" customHeight="1">
      <c r="E51" s="2"/>
    </row>
    <row r="52" spans="5:5" ht="14.25" customHeight="1">
      <c r="E52" s="2"/>
    </row>
    <row r="53" spans="5:5" ht="14.25" customHeight="1">
      <c r="E53" s="2"/>
    </row>
    <row r="54" spans="5:5" ht="14.25" customHeight="1">
      <c r="E54" s="2"/>
    </row>
    <row r="55" spans="5:5" ht="14.25" customHeight="1">
      <c r="E55" s="2"/>
    </row>
    <row r="56" spans="5:5" ht="14.25" customHeight="1">
      <c r="E56" s="2"/>
    </row>
    <row r="57" spans="5:5" ht="14.25" customHeight="1">
      <c r="E57" s="2"/>
    </row>
    <row r="58" spans="5:5" ht="14.25" customHeight="1">
      <c r="E58" s="2"/>
    </row>
    <row r="59" spans="5:5" ht="14.25" customHeight="1">
      <c r="E59" s="2"/>
    </row>
    <row r="60" spans="5:5" ht="14.25" customHeight="1">
      <c r="E60" s="2"/>
    </row>
    <row r="61" spans="5:5" ht="14.25" customHeight="1">
      <c r="E61" s="2"/>
    </row>
    <row r="62" spans="5:5" ht="14.25" customHeight="1">
      <c r="E62" s="2"/>
    </row>
    <row r="63" spans="5:5" ht="14.25" customHeight="1">
      <c r="E63" s="2"/>
    </row>
    <row r="64" spans="5:5" ht="14.25" customHeight="1">
      <c r="E64" s="2"/>
    </row>
    <row r="65" spans="5:5" ht="14.25" customHeight="1">
      <c r="E65" s="2"/>
    </row>
    <row r="66" spans="5:5" ht="14.25" customHeight="1">
      <c r="E66" s="2"/>
    </row>
    <row r="67" spans="5:5" ht="14.25" customHeight="1">
      <c r="E67" s="2"/>
    </row>
    <row r="68" spans="5:5" ht="14.25" customHeight="1">
      <c r="E68" s="2"/>
    </row>
    <row r="69" spans="5:5" ht="14.25" customHeight="1">
      <c r="E69" s="2"/>
    </row>
    <row r="70" spans="5:5" ht="14.25" customHeight="1">
      <c r="E70" s="2"/>
    </row>
    <row r="71" spans="5:5" ht="14.25" customHeight="1">
      <c r="E71" s="2"/>
    </row>
    <row r="72" spans="5:5" ht="14.25" customHeight="1">
      <c r="E72" s="2"/>
    </row>
    <row r="73" spans="5:5" ht="14.25" customHeight="1">
      <c r="E73" s="2"/>
    </row>
    <row r="74" spans="5:5" ht="14.25" customHeight="1">
      <c r="E74" s="2"/>
    </row>
    <row r="75" spans="5:5" ht="14.25" customHeight="1">
      <c r="E75" s="2"/>
    </row>
    <row r="76" spans="5:5" ht="14.25" customHeight="1">
      <c r="E76" s="2"/>
    </row>
    <row r="77" spans="5:5" ht="14.25" customHeight="1">
      <c r="E77" s="2"/>
    </row>
    <row r="78" spans="5:5" ht="14.25" customHeight="1">
      <c r="E78" s="2"/>
    </row>
    <row r="79" spans="5:5" ht="14.25" customHeight="1">
      <c r="E79" s="2"/>
    </row>
    <row r="80" spans="5:5" ht="14.25" customHeight="1">
      <c r="E80" s="2"/>
    </row>
    <row r="81" spans="5:5" ht="14.25" customHeight="1">
      <c r="E81" s="2"/>
    </row>
    <row r="82" spans="5:5" ht="14.25" customHeight="1">
      <c r="E82" s="2"/>
    </row>
    <row r="83" spans="5:5" ht="14.25" customHeight="1">
      <c r="E83" s="2"/>
    </row>
    <row r="84" spans="5:5" ht="14.25" customHeight="1">
      <c r="E84" s="2"/>
    </row>
    <row r="85" spans="5:5" ht="14.25" customHeight="1">
      <c r="E85" s="2"/>
    </row>
    <row r="86" spans="5:5" ht="14.25" customHeight="1">
      <c r="E86" s="2"/>
    </row>
    <row r="87" spans="5:5" ht="14.25" customHeight="1">
      <c r="E87" s="2"/>
    </row>
    <row r="88" spans="5:5" ht="14.25" customHeight="1">
      <c r="E88" s="2"/>
    </row>
    <row r="89" spans="5:5" ht="14.25" customHeight="1">
      <c r="E89" s="2"/>
    </row>
    <row r="90" spans="5:5" ht="14.25" customHeight="1">
      <c r="E90" s="2"/>
    </row>
    <row r="91" spans="5:5" ht="14.25" customHeight="1">
      <c r="E91" s="2"/>
    </row>
    <row r="92" spans="5:5" ht="14.25" customHeight="1">
      <c r="E92" s="2"/>
    </row>
    <row r="93" spans="5:5" ht="14.25" customHeight="1">
      <c r="E93" s="2"/>
    </row>
    <row r="94" spans="5:5" ht="14.25" customHeight="1">
      <c r="E94" s="2"/>
    </row>
    <row r="95" spans="5:5" ht="14.25" customHeight="1">
      <c r="E95" s="2"/>
    </row>
    <row r="96" spans="5:5" ht="14.25" customHeight="1">
      <c r="E96" s="2"/>
    </row>
    <row r="97" spans="5:5" ht="14.25" customHeight="1">
      <c r="E97" s="2"/>
    </row>
    <row r="98" spans="5:5" ht="14.25" customHeight="1">
      <c r="E98" s="2"/>
    </row>
    <row r="99" spans="5:5" ht="14.25" customHeight="1">
      <c r="E99" s="2"/>
    </row>
    <row r="100" spans="5:5" ht="14.25" customHeight="1">
      <c r="E100" s="2"/>
    </row>
    <row r="101" spans="5:5" ht="14.25" customHeight="1">
      <c r="E101" s="2"/>
    </row>
    <row r="102" spans="5:5" ht="14.25" customHeight="1">
      <c r="E102" s="2"/>
    </row>
    <row r="103" spans="5:5" ht="14.25" customHeight="1">
      <c r="E103" s="2"/>
    </row>
    <row r="104" spans="5:5" ht="14.25" customHeight="1">
      <c r="E104" s="2"/>
    </row>
    <row r="105" spans="5:5" ht="14.25" customHeight="1">
      <c r="E105" s="2"/>
    </row>
    <row r="106" spans="5:5" ht="14.25" customHeight="1">
      <c r="E106" s="2"/>
    </row>
    <row r="107" spans="5:5" ht="14.25" customHeight="1">
      <c r="E107" s="2"/>
    </row>
    <row r="108" spans="5:5" ht="14.25" customHeight="1">
      <c r="E108" s="2"/>
    </row>
    <row r="109" spans="5:5" ht="14.25" customHeight="1">
      <c r="E109" s="2"/>
    </row>
    <row r="110" spans="5:5" ht="14.25" customHeight="1">
      <c r="E110" s="2"/>
    </row>
    <row r="111" spans="5:5" ht="14.25" customHeight="1">
      <c r="E111" s="2"/>
    </row>
    <row r="112" spans="5:5" ht="14.25" customHeight="1">
      <c r="E112" s="2"/>
    </row>
    <row r="113" spans="5:5" ht="14.25" customHeight="1">
      <c r="E113" s="2"/>
    </row>
    <row r="114" spans="5:5" ht="14.25" customHeight="1">
      <c r="E114" s="2"/>
    </row>
    <row r="115" spans="5:5" ht="14.25" customHeight="1">
      <c r="E115" s="2"/>
    </row>
    <row r="116" spans="5:5" ht="14.25" customHeight="1">
      <c r="E116" s="2"/>
    </row>
    <row r="117" spans="5:5" ht="14.25" customHeight="1">
      <c r="E117" s="2"/>
    </row>
    <row r="118" spans="5:5" ht="14.25" customHeight="1">
      <c r="E118" s="2"/>
    </row>
    <row r="119" spans="5:5" ht="14.25" customHeight="1">
      <c r="E119" s="2"/>
    </row>
    <row r="120" spans="5:5" ht="14.25" customHeight="1">
      <c r="E120" s="2"/>
    </row>
    <row r="121" spans="5:5" ht="14.25" customHeight="1">
      <c r="E121" s="2"/>
    </row>
    <row r="122" spans="5:5" ht="14.25" customHeight="1">
      <c r="E122" s="2"/>
    </row>
    <row r="123" spans="5:5" ht="14.25" customHeight="1">
      <c r="E123" s="2"/>
    </row>
    <row r="124" spans="5:5" ht="14.25" customHeight="1">
      <c r="E124" s="2"/>
    </row>
    <row r="125" spans="5:5" ht="14.25" customHeight="1">
      <c r="E125" s="2"/>
    </row>
    <row r="126" spans="5:5" ht="14.25" customHeight="1">
      <c r="E126" s="2"/>
    </row>
    <row r="127" spans="5:5" ht="14.25" customHeight="1">
      <c r="E127" s="2"/>
    </row>
    <row r="128" spans="5:5" ht="14.25" customHeight="1">
      <c r="E128" s="2"/>
    </row>
    <row r="129" spans="5:5" ht="14.25" customHeight="1">
      <c r="E129" s="2"/>
    </row>
    <row r="130" spans="5:5" ht="14.25" customHeight="1">
      <c r="E130" s="2"/>
    </row>
    <row r="131" spans="5:5" ht="14.25" customHeight="1">
      <c r="E131" s="2"/>
    </row>
    <row r="132" spans="5:5" ht="14.25" customHeight="1">
      <c r="E132" s="2"/>
    </row>
    <row r="133" spans="5:5" ht="14.25" customHeight="1">
      <c r="E133" s="2"/>
    </row>
    <row r="134" spans="5:5" ht="14.25" customHeight="1">
      <c r="E134" s="2"/>
    </row>
    <row r="135" spans="5:5" ht="14.25" customHeight="1">
      <c r="E135" s="2"/>
    </row>
    <row r="136" spans="5:5" ht="14.25" customHeight="1">
      <c r="E136" s="2"/>
    </row>
    <row r="137" spans="5:5" ht="14.25" customHeight="1">
      <c r="E137" s="2"/>
    </row>
    <row r="138" spans="5:5" ht="14.25" customHeight="1">
      <c r="E138" s="2"/>
    </row>
    <row r="139" spans="5:5" ht="14.25" customHeight="1">
      <c r="E139" s="2"/>
    </row>
    <row r="140" spans="5:5" ht="14.25" customHeight="1">
      <c r="E140" s="2"/>
    </row>
    <row r="141" spans="5:5" ht="14.25" customHeight="1">
      <c r="E141" s="2"/>
    </row>
    <row r="142" spans="5:5" ht="14.25" customHeight="1">
      <c r="E142" s="2"/>
    </row>
    <row r="143" spans="5:5" ht="14.25" customHeight="1">
      <c r="E143" s="2"/>
    </row>
    <row r="144" spans="5:5" ht="14.25" customHeight="1">
      <c r="E144" s="2"/>
    </row>
    <row r="145" spans="5:5" ht="14.25" customHeight="1">
      <c r="E145" s="2"/>
    </row>
    <row r="146" spans="5:5" ht="14.25" customHeight="1">
      <c r="E146" s="2"/>
    </row>
    <row r="147" spans="5:5" ht="14.25" customHeight="1">
      <c r="E147" s="2"/>
    </row>
    <row r="148" spans="5:5" ht="14.25" customHeight="1">
      <c r="E148" s="2"/>
    </row>
    <row r="149" spans="5:5" ht="14.25" customHeight="1">
      <c r="E149" s="2"/>
    </row>
    <row r="150" spans="5:5" ht="14.25" customHeight="1">
      <c r="E150" s="2"/>
    </row>
    <row r="151" spans="5:5" ht="14.25" customHeight="1">
      <c r="E151" s="2"/>
    </row>
    <row r="152" spans="5:5" ht="14.25" customHeight="1">
      <c r="E152" s="2"/>
    </row>
    <row r="153" spans="5:5" ht="14.25" customHeight="1">
      <c r="E153" s="2"/>
    </row>
    <row r="154" spans="5:5" ht="14.25" customHeight="1">
      <c r="E154" s="2"/>
    </row>
    <row r="155" spans="5:5" ht="14.25" customHeight="1">
      <c r="E155" s="2"/>
    </row>
    <row r="156" spans="5:5" ht="14.25" customHeight="1">
      <c r="E156" s="2"/>
    </row>
    <row r="157" spans="5:5" ht="14.25" customHeight="1">
      <c r="E157" s="2"/>
    </row>
    <row r="158" spans="5:5" ht="14.25" customHeight="1">
      <c r="E158" s="2"/>
    </row>
    <row r="159" spans="5:5" ht="14.25" customHeight="1">
      <c r="E159" s="2"/>
    </row>
    <row r="160" spans="5:5" ht="14.25" customHeight="1">
      <c r="E160" s="2"/>
    </row>
    <row r="161" spans="5:5" ht="14.25" customHeight="1">
      <c r="E161" s="2"/>
    </row>
    <row r="162" spans="5:5" ht="14.25" customHeight="1">
      <c r="E162" s="2"/>
    </row>
    <row r="163" spans="5:5" ht="14.25" customHeight="1">
      <c r="E163" s="2"/>
    </row>
    <row r="164" spans="5:5" ht="14.25" customHeight="1">
      <c r="E164" s="2"/>
    </row>
    <row r="165" spans="5:5" ht="14.25" customHeight="1">
      <c r="E165" s="2"/>
    </row>
    <row r="166" spans="5:5" ht="14.25" customHeight="1">
      <c r="E166" s="2"/>
    </row>
    <row r="167" spans="5:5" ht="14.25" customHeight="1">
      <c r="E167" s="2"/>
    </row>
    <row r="168" spans="5:5" ht="14.25" customHeight="1">
      <c r="E168" s="2"/>
    </row>
    <row r="169" spans="5:5" ht="14.25" customHeight="1">
      <c r="E169" s="2"/>
    </row>
    <row r="170" spans="5:5" ht="14.25" customHeight="1">
      <c r="E170" s="2"/>
    </row>
    <row r="171" spans="5:5" ht="14.25" customHeight="1">
      <c r="E171" s="2"/>
    </row>
    <row r="172" spans="5:5" ht="14.25" customHeight="1">
      <c r="E172" s="2"/>
    </row>
    <row r="173" spans="5:5" ht="14.25" customHeight="1">
      <c r="E173" s="2"/>
    </row>
    <row r="174" spans="5:5" ht="14.25" customHeight="1">
      <c r="E174" s="2"/>
    </row>
    <row r="175" spans="5:5" ht="14.25" customHeight="1">
      <c r="E175" s="2"/>
    </row>
    <row r="176" spans="5:5" ht="14.25" customHeight="1">
      <c r="E176" s="2"/>
    </row>
    <row r="177" spans="5:5" ht="14.25" customHeight="1">
      <c r="E177" s="2"/>
    </row>
    <row r="178" spans="5:5" ht="14.25" customHeight="1">
      <c r="E178" s="2"/>
    </row>
    <row r="179" spans="5:5" ht="14.25" customHeight="1">
      <c r="E179" s="2"/>
    </row>
    <row r="180" spans="5:5" ht="14.25" customHeight="1">
      <c r="E180" s="2"/>
    </row>
    <row r="181" spans="5:5" ht="14.25" customHeight="1">
      <c r="E181" s="2"/>
    </row>
    <row r="182" spans="5:5" ht="14.25" customHeight="1">
      <c r="E182" s="2"/>
    </row>
    <row r="183" spans="5:5" ht="14.25" customHeight="1">
      <c r="E183" s="2"/>
    </row>
    <row r="184" spans="5:5" ht="14.25" customHeight="1">
      <c r="E184" s="2"/>
    </row>
    <row r="185" spans="5:5" ht="14.25" customHeight="1">
      <c r="E185" s="2"/>
    </row>
    <row r="186" spans="5:5" ht="14.25" customHeight="1">
      <c r="E186" s="2"/>
    </row>
    <row r="187" spans="5:5" ht="14.25" customHeight="1">
      <c r="E187" s="2"/>
    </row>
    <row r="188" spans="5:5" ht="14.25" customHeight="1">
      <c r="E188" s="2"/>
    </row>
    <row r="189" spans="5:5" ht="14.25" customHeight="1">
      <c r="E189" s="2"/>
    </row>
    <row r="190" spans="5:5" ht="14.25" customHeight="1">
      <c r="E190" s="2"/>
    </row>
    <row r="191" spans="5:5" ht="14.25" customHeight="1">
      <c r="E191" s="2"/>
    </row>
    <row r="192" spans="5:5" ht="14.25" customHeight="1">
      <c r="E192" s="2"/>
    </row>
    <row r="193" spans="5:5" ht="14.25" customHeight="1">
      <c r="E193" s="2"/>
    </row>
    <row r="194" spans="5:5" ht="14.25" customHeight="1">
      <c r="E194" s="2"/>
    </row>
    <row r="195" spans="5:5" ht="14.25" customHeight="1">
      <c r="E195" s="2"/>
    </row>
    <row r="196" spans="5:5" ht="14.25" customHeight="1">
      <c r="E196" s="2"/>
    </row>
    <row r="197" spans="5:5" ht="14.25" customHeight="1">
      <c r="E197" s="2"/>
    </row>
    <row r="198" spans="5:5" ht="14.25" customHeight="1">
      <c r="E198" s="2"/>
    </row>
    <row r="199" spans="5:5" ht="14.25" customHeight="1">
      <c r="E199" s="2"/>
    </row>
    <row r="200" spans="5:5" ht="14.25" customHeight="1">
      <c r="E200" s="2"/>
    </row>
    <row r="201" spans="5:5" ht="14.25" customHeight="1">
      <c r="E201" s="2"/>
    </row>
    <row r="202" spans="5:5" ht="14.25" customHeight="1">
      <c r="E202" s="2"/>
    </row>
    <row r="203" spans="5:5" ht="14.25" customHeight="1">
      <c r="E203" s="2"/>
    </row>
    <row r="204" spans="5:5" ht="14.25" customHeight="1">
      <c r="E204" s="2"/>
    </row>
    <row r="205" spans="5:5" ht="14.25" customHeight="1">
      <c r="E205" s="2"/>
    </row>
    <row r="206" spans="5:5" ht="14.25" customHeight="1">
      <c r="E206" s="2"/>
    </row>
    <row r="207" spans="5:5" ht="14.25" customHeight="1">
      <c r="E207" s="2"/>
    </row>
    <row r="208" spans="5:5" ht="14.25" customHeight="1">
      <c r="E208" s="2"/>
    </row>
    <row r="209" spans="5:5" ht="14.25" customHeight="1">
      <c r="E209" s="2"/>
    </row>
    <row r="210" spans="5:5" ht="14.25" customHeight="1">
      <c r="E210" s="2"/>
    </row>
    <row r="211" spans="5:5" ht="14.25" customHeight="1">
      <c r="E211" s="2"/>
    </row>
    <row r="212" spans="5:5" ht="14.25" customHeight="1">
      <c r="E212" s="2"/>
    </row>
    <row r="213" spans="5:5" ht="14.25" customHeight="1">
      <c r="E213" s="2"/>
    </row>
    <row r="214" spans="5:5" ht="14.25" customHeight="1">
      <c r="E214" s="2"/>
    </row>
    <row r="215" spans="5:5" ht="14.25" customHeight="1">
      <c r="E215" s="2"/>
    </row>
    <row r="216" spans="5:5" ht="14.25" customHeight="1">
      <c r="E216" s="2"/>
    </row>
    <row r="217" spans="5:5" ht="14.25" customHeight="1">
      <c r="E217" s="2"/>
    </row>
    <row r="218" spans="5:5" ht="14.25" customHeight="1">
      <c r="E218" s="2"/>
    </row>
    <row r="219" spans="5:5" ht="14.25" customHeight="1">
      <c r="E219" s="2"/>
    </row>
    <row r="220" spans="5:5" ht="14.25" customHeight="1">
      <c r="E220" s="2"/>
    </row>
    <row r="221" spans="5:5" ht="14.25" customHeight="1">
      <c r="E221" s="2"/>
    </row>
    <row r="222" spans="5:5" ht="14.25" customHeight="1">
      <c r="E222" s="2"/>
    </row>
    <row r="223" spans="5:5" ht="14.25" customHeight="1">
      <c r="E223" s="2"/>
    </row>
    <row r="224" spans="5:5" ht="14.25" customHeight="1">
      <c r="E224" s="2"/>
    </row>
    <row r="225" spans="5:5" ht="14.25" customHeight="1">
      <c r="E225" s="2"/>
    </row>
    <row r="226" spans="5:5" ht="14.25" customHeight="1">
      <c r="E226" s="2"/>
    </row>
    <row r="227" spans="5:5" ht="14.25" customHeight="1">
      <c r="E227" s="2"/>
    </row>
    <row r="228" spans="5:5" ht="14.25" customHeight="1">
      <c r="E228" s="2"/>
    </row>
    <row r="229" spans="5:5" ht="14.25" customHeight="1">
      <c r="E229" s="2"/>
    </row>
    <row r="230" spans="5:5" ht="14.25" customHeight="1">
      <c r="E230" s="2"/>
    </row>
    <row r="231" spans="5:5" ht="14.25" customHeight="1">
      <c r="E231" s="2"/>
    </row>
    <row r="232" spans="5:5" ht="14.25" customHeight="1">
      <c r="E232" s="2"/>
    </row>
    <row r="233" spans="5:5" ht="14.25" customHeight="1">
      <c r="E233" s="2"/>
    </row>
    <row r="234" spans="5:5" ht="15.75" customHeight="1"/>
    <row r="235" spans="5:5" ht="15.75" customHeight="1"/>
    <row r="236" spans="5:5" ht="15.75" customHeight="1"/>
    <row r="237" spans="5:5" ht="15.75" customHeight="1"/>
    <row r="238" spans="5:5" ht="15.75" customHeight="1"/>
    <row r="239" spans="5:5" ht="15.75" customHeight="1"/>
    <row r="240" spans="5: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/>
  </sheetViews>
  <sheetFormatPr defaultColWidth="14.42578125" defaultRowHeight="15" customHeight="1"/>
  <cols>
    <col min="1" max="1" width="20.28515625" customWidth="1"/>
    <col min="2" max="2" width="35.140625" customWidth="1"/>
    <col min="3" max="3" width="20" customWidth="1"/>
    <col min="4" max="5" width="15" customWidth="1"/>
    <col min="6" max="6" width="21" customWidth="1"/>
    <col min="7" max="7" width="14.7109375" customWidth="1"/>
  </cols>
  <sheetData>
    <row r="1" spans="1:7" ht="14.25" customHeight="1">
      <c r="A1" s="107" t="s">
        <v>859</v>
      </c>
      <c r="B1" s="107" t="s">
        <v>816</v>
      </c>
      <c r="C1" s="107" t="s">
        <v>814</v>
      </c>
      <c r="D1" s="108" t="s">
        <v>815</v>
      </c>
      <c r="E1" s="108" t="s">
        <v>860</v>
      </c>
      <c r="F1" s="108" t="s">
        <v>861</v>
      </c>
      <c r="G1" s="115" t="s">
        <v>862</v>
      </c>
    </row>
    <row r="2" spans="1:7" ht="14.25" customHeight="1">
      <c r="A2" s="116">
        <v>50200059258233</v>
      </c>
      <c r="B2" s="7" t="s">
        <v>820</v>
      </c>
      <c r="C2" s="109" t="s">
        <v>43</v>
      </c>
      <c r="D2" s="8" t="e">
        <f>VLOOKUP(C2,'Draft-Paysheet May 2026'!$C$4:$AL$51,37,0)</f>
        <v>#REF!</v>
      </c>
      <c r="E2" s="8" t="str">
        <f>VLOOKUP(C2,'Draft-Paysheet May 2026'!$C$4:$R$51,16,0)</f>
        <v>UTIB0004626</v>
      </c>
      <c r="F2" s="8" t="str">
        <f>VLOOKUP(C2,'Draft-Paysheet May 2026'!$C$4:$R$51,15,0)</f>
        <v>921010013386877</v>
      </c>
      <c r="G2" s="7"/>
    </row>
    <row r="3" spans="1:7" ht="14.25" customHeight="1">
      <c r="A3" s="116">
        <v>50200059258233</v>
      </c>
      <c r="B3" s="7" t="s">
        <v>820</v>
      </c>
      <c r="C3" s="109" t="s">
        <v>60</v>
      </c>
      <c r="D3" s="8" t="e">
        <f>VLOOKUP(C3,'Draft-Paysheet May 2026'!$C$4:$AL$51,37,0)</f>
        <v>#REF!</v>
      </c>
      <c r="E3" s="8" t="str">
        <f>VLOOKUP(C3,'Draft-Paysheet May 2026'!$C$4:$R$51,16,0)</f>
        <v>UTIB0001007</v>
      </c>
      <c r="F3" s="8" t="str">
        <f>VLOOKUP(C3,'Draft-Paysheet May 2026'!$C$4:$R$51,15,0)</f>
        <v>911010047193187</v>
      </c>
      <c r="G3" s="7"/>
    </row>
    <row r="4" spans="1:7" ht="14.25" customHeight="1">
      <c r="A4" s="116">
        <v>50200059258233</v>
      </c>
      <c r="B4" s="7" t="s">
        <v>820</v>
      </c>
      <c r="C4" s="109" t="s">
        <v>72</v>
      </c>
      <c r="D4" s="8" t="e">
        <f>VLOOKUP(C4,'Draft-Paysheet May 2026'!$C$4:$AL$51,37,0)</f>
        <v>#REF!</v>
      </c>
      <c r="E4" s="8" t="str">
        <f>VLOOKUP(C4,'Draft-Paysheet May 2026'!$C$4:$R$51,16,0)</f>
        <v>KVBL0004101</v>
      </c>
      <c r="F4" s="8" t="str">
        <f>VLOOKUP(C4,'Draft-Paysheet May 2026'!$C$4:$R$51,15,0)</f>
        <v>4101155000110629</v>
      </c>
      <c r="G4" s="7"/>
    </row>
    <row r="5" spans="1:7" ht="14.25" customHeight="1">
      <c r="A5" s="116">
        <v>50200059258233</v>
      </c>
      <c r="B5" s="7" t="s">
        <v>820</v>
      </c>
      <c r="C5" s="109" t="s">
        <v>85</v>
      </c>
      <c r="D5" s="8" t="e">
        <f>VLOOKUP(C5,'Draft-Paysheet May 2026'!$C$4:$AL$51,37,0)</f>
        <v>#REF!</v>
      </c>
      <c r="E5" s="8" t="str">
        <f>VLOOKUP(C5,'Draft-Paysheet May 2026'!$C$4:$R$51,16,0)</f>
        <v>SBIN0050324</v>
      </c>
      <c r="F5" s="8" t="str">
        <f>VLOOKUP(C5,'Draft-Paysheet May 2026'!$C$4:$R$51,15,0)</f>
        <v>65122570810</v>
      </c>
      <c r="G5" s="7"/>
    </row>
    <row r="6" spans="1:7" ht="14.25" customHeight="1">
      <c r="A6" s="116">
        <v>50200059258233</v>
      </c>
      <c r="B6" s="7" t="s">
        <v>820</v>
      </c>
      <c r="C6" s="109" t="s">
        <v>98</v>
      </c>
      <c r="D6" s="8" t="e">
        <f>VLOOKUP(C6,'Draft-Paysheet May 2026'!$C$4:$AL$51,37,0)</f>
        <v>#REF!</v>
      </c>
      <c r="E6" s="8" t="str">
        <f>VLOOKUP(C6,'Draft-Paysheet May 2026'!$C$4:$R$51,16,0)</f>
        <v>SBIN0018166</v>
      </c>
      <c r="F6" s="8" t="str">
        <f>VLOOKUP(C6,'Draft-Paysheet May 2026'!$C$4:$R$51,15,0)</f>
        <v>31582334723</v>
      </c>
      <c r="G6" s="7"/>
    </row>
    <row r="7" spans="1:7" ht="14.25" customHeight="1">
      <c r="A7" s="116">
        <v>50200059258233</v>
      </c>
      <c r="B7" s="7" t="s">
        <v>820</v>
      </c>
      <c r="C7" s="109" t="s">
        <v>109</v>
      </c>
      <c r="D7" s="8" t="e">
        <f>VLOOKUP(C7,'Draft-Paysheet May 2026'!$C$4:$AL$51,37,0)</f>
        <v>#REF!</v>
      </c>
      <c r="E7" s="8" t="str">
        <f>VLOOKUP(C7,'Draft-Paysheet May 2026'!$C$4:$R$51,16,0)</f>
        <v>MAHB0001744</v>
      </c>
      <c r="F7" s="8" t="str">
        <f>VLOOKUP(C7,'Draft-Paysheet May 2026'!$C$4:$R$51,15,0)</f>
        <v>60285501118</v>
      </c>
      <c r="G7" s="7"/>
    </row>
    <row r="8" spans="1:7" ht="14.25" customHeight="1">
      <c r="A8" s="116">
        <v>50200059258233</v>
      </c>
      <c r="B8" s="7" t="s">
        <v>820</v>
      </c>
      <c r="C8" s="109" t="s">
        <v>120</v>
      </c>
      <c r="D8" s="8" t="e">
        <f>VLOOKUP(C8,'Draft-Paysheet May 2026'!$C$4:$AL$51,37,0)</f>
        <v>#N/A</v>
      </c>
      <c r="E8" s="8" t="e">
        <f>VLOOKUP(C8,'Draft-Paysheet May 2026'!$C$4:$R$51,16,0)</f>
        <v>#N/A</v>
      </c>
      <c r="F8" s="8" t="e">
        <f>VLOOKUP(C8,'Draft-Paysheet May 2026'!$C$4:$R$51,15,0)</f>
        <v>#N/A</v>
      </c>
      <c r="G8" s="7"/>
    </row>
    <row r="9" spans="1:7" ht="14.25" customHeight="1">
      <c r="A9" s="116">
        <v>50200059258233</v>
      </c>
      <c r="B9" s="7" t="s">
        <v>820</v>
      </c>
      <c r="C9" s="109" t="s">
        <v>132</v>
      </c>
      <c r="D9" s="8" t="e">
        <f>VLOOKUP(C9,'Draft-Paysheet May 2026'!$C$4:$AL$51,37,0)</f>
        <v>#REF!</v>
      </c>
      <c r="E9" s="8" t="str">
        <f>VLOOKUP(C9,'Draft-Paysheet May 2026'!$C$4:$R$51,16,0)</f>
        <v>IOBA0000766</v>
      </c>
      <c r="F9" s="8" t="str">
        <f>VLOOKUP(C9,'Draft-Paysheet May 2026'!$C$4:$R$51,15,0)</f>
        <v>076601000061190</v>
      </c>
      <c r="G9" s="7"/>
    </row>
    <row r="10" spans="1:7" ht="14.25" customHeight="1">
      <c r="A10" s="116">
        <v>50200059258233</v>
      </c>
      <c r="B10" s="7" t="s">
        <v>820</v>
      </c>
      <c r="C10" s="109" t="s">
        <v>151</v>
      </c>
      <c r="D10" s="8">
        <f>'Draft-Paysheet May 2026'!AL13</f>
        <v>42000</v>
      </c>
      <c r="E10" s="8" t="str">
        <f>'Draft-Paysheet May 2026'!R13</f>
        <v>SBIN0032160</v>
      </c>
      <c r="F10" s="8" t="str">
        <f>'Draft-Paysheet May 2026'!Q13</f>
        <v>51116630705</v>
      </c>
      <c r="G10" s="7"/>
    </row>
    <row r="11" spans="1:7" ht="14.25" customHeight="1">
      <c r="A11" s="116">
        <v>50200059258233</v>
      </c>
      <c r="B11" s="7" t="s">
        <v>820</v>
      </c>
      <c r="C11" s="109" t="s">
        <v>155</v>
      </c>
      <c r="D11" s="8" t="e">
        <f>VLOOKUP(C11,'Draft-Paysheet May 2026'!$C$4:$AL$51,37,0)</f>
        <v>#REF!</v>
      </c>
      <c r="E11" s="8" t="str">
        <f>VLOOKUP(C11,'Draft-Paysheet May 2026'!$C$4:$R$51,16,0)</f>
        <v>CNRB0003160</v>
      </c>
      <c r="F11" s="8" t="str">
        <f>VLOOKUP(C11,'Draft-Paysheet May 2026'!$C$4:$R$51,15,0)</f>
        <v>110037818923</v>
      </c>
      <c r="G11" s="7"/>
    </row>
    <row r="12" spans="1:7" ht="14.25" customHeight="1">
      <c r="A12" s="116">
        <v>50200059258233</v>
      </c>
      <c r="B12" s="7" t="s">
        <v>820</v>
      </c>
      <c r="C12" s="109" t="s">
        <v>166</v>
      </c>
      <c r="D12" s="8" t="e">
        <f>VLOOKUP(C12,'Draft-Paysheet May 2026'!$C$4:$AL$51,37,0)</f>
        <v>#REF!</v>
      </c>
      <c r="E12" s="8" t="str">
        <f>VLOOKUP(C12,'Draft-Paysheet May 2026'!$C$4:$R$51,16,0)</f>
        <v>SBIN0011550</v>
      </c>
      <c r="F12" s="8" t="str">
        <f>VLOOKUP(C12,'Draft-Paysheet May 2026'!$C$4:$R$51,15,0)</f>
        <v>20088263301</v>
      </c>
      <c r="G12" s="7"/>
    </row>
    <row r="13" spans="1:7" ht="14.25" customHeight="1">
      <c r="A13" s="116">
        <v>50200059258233</v>
      </c>
      <c r="B13" s="7" t="s">
        <v>820</v>
      </c>
      <c r="C13" s="109" t="s">
        <v>178</v>
      </c>
      <c r="D13" s="8" t="e">
        <f>VLOOKUP(C13,'Draft-Paysheet May 2026'!$C$4:$AL$51,37,0)</f>
        <v>#REF!</v>
      </c>
      <c r="E13" s="8" t="str">
        <f>VLOOKUP(C13,'Draft-Paysheet May 2026'!$C$4:$R$51,16,0)</f>
        <v>KKBK0004596</v>
      </c>
      <c r="F13" s="8" t="str">
        <f>VLOOKUP(C13,'Draft-Paysheet May 2026'!$C$4:$R$51,15,0)</f>
        <v>5246430031</v>
      </c>
      <c r="G13" s="7"/>
    </row>
    <row r="14" spans="1:7" ht="14.25" customHeight="1">
      <c r="A14" s="116">
        <v>50200059258233</v>
      </c>
      <c r="B14" s="7" t="s">
        <v>820</v>
      </c>
      <c r="C14" s="109" t="s">
        <v>190</v>
      </c>
      <c r="D14" s="8" t="e">
        <f>VLOOKUP(C14,'Draft-Paysheet May 2026'!$C$4:$AL$51,37,0)</f>
        <v>#REF!</v>
      </c>
      <c r="E14" s="8" t="str">
        <f>VLOOKUP(C14,'Draft-Paysheet May 2026'!$C$4:$R$51,16,0)</f>
        <v>SBIN0005918</v>
      </c>
      <c r="F14" s="8" t="str">
        <f>VLOOKUP(C14,'Draft-Paysheet May 2026'!$C$4:$R$51,15,0)</f>
        <v>35853508559</v>
      </c>
      <c r="G14" s="7"/>
    </row>
    <row r="15" spans="1:7" ht="14.25" customHeight="1">
      <c r="A15" s="116">
        <v>50200059258233</v>
      </c>
      <c r="B15" s="7" t="s">
        <v>820</v>
      </c>
      <c r="C15" s="109" t="s">
        <v>201</v>
      </c>
      <c r="D15" s="8" t="e">
        <f>VLOOKUP(C15,'Draft-Paysheet May 2026'!$C$4:$AL$51,37,0)</f>
        <v>#N/A</v>
      </c>
      <c r="E15" s="8" t="e">
        <f>VLOOKUP(C15,'Draft-Paysheet May 2026'!$C$4:$R$51,16,0)</f>
        <v>#N/A</v>
      </c>
      <c r="F15" s="8" t="e">
        <f>VLOOKUP(C15,'Draft-Paysheet May 2026'!$C$4:$R$51,15,0)</f>
        <v>#N/A</v>
      </c>
      <c r="G15" s="7"/>
    </row>
    <row r="16" spans="1:7" ht="14.25" customHeight="1">
      <c r="A16" s="116">
        <v>50200059258233</v>
      </c>
      <c r="B16" s="7" t="s">
        <v>820</v>
      </c>
      <c r="C16" s="109" t="s">
        <v>215</v>
      </c>
      <c r="D16" s="8" t="e">
        <f>VLOOKUP(C16,'Draft-Paysheet May 2026'!$C$4:$AL$51,37,0)</f>
        <v>#REF!</v>
      </c>
      <c r="E16" s="8" t="str">
        <f>VLOOKUP(C16,'Draft-Paysheet May 2026'!$C$4:$R$51,16,0)</f>
        <v>HDFC0007285</v>
      </c>
      <c r="F16" s="8">
        <f>VLOOKUP(C16,'Draft-Paysheet May 2026'!$C$4:$R$51,15,0)</f>
        <v>50100823730034</v>
      </c>
      <c r="G16" s="7"/>
    </row>
    <row r="17" spans="1:7" ht="14.25" customHeight="1">
      <c r="A17" s="116">
        <v>50200059258233</v>
      </c>
      <c r="B17" s="7" t="s">
        <v>820</v>
      </c>
      <c r="C17" s="109" t="s">
        <v>306</v>
      </c>
      <c r="D17" s="8" t="e">
        <f>VLOOKUP(C17,'Draft-Paysheet May 2026'!$C$4:$AL$51,37,0)</f>
        <v>#REF!</v>
      </c>
      <c r="E17" s="8" t="str">
        <f>VLOOKUP(C17,'Draft-Paysheet May 2026'!$C$4:$R$51,16,0)</f>
        <v>ICIC0000815</v>
      </c>
      <c r="F17" s="8" t="str">
        <f>VLOOKUP(C17,'Draft-Paysheet May 2026'!$C$4:$R$51,15,0)</f>
        <v>051601003530</v>
      </c>
      <c r="G17" s="7"/>
    </row>
    <row r="18" spans="1:7" ht="14.25" customHeight="1">
      <c r="A18" s="116">
        <v>50200059258233</v>
      </c>
      <c r="B18" s="7" t="s">
        <v>820</v>
      </c>
      <c r="C18" s="109" t="s">
        <v>318</v>
      </c>
      <c r="D18" s="8" t="e">
        <f>VLOOKUP(C18,'Draft-Paysheet May 2026'!$C$4:$AL$51,37,0)</f>
        <v>#REF!</v>
      </c>
      <c r="E18" s="8" t="str">
        <f>VLOOKUP(C18,'Draft-Paysheet May 2026'!$C$4:$R$51,16,0)</f>
        <v>UTIB0000739</v>
      </c>
      <c r="F18" s="8" t="str">
        <f>VLOOKUP(C18,'Draft-Paysheet May 2026'!$C$4:$R$51,15,0)</f>
        <v>911010066143864</v>
      </c>
      <c r="G18" s="7"/>
    </row>
    <row r="19" spans="1:7" ht="14.25" customHeight="1">
      <c r="A19" s="116">
        <v>50200059258233</v>
      </c>
      <c r="B19" s="7" t="s">
        <v>820</v>
      </c>
      <c r="C19" s="109" t="s">
        <v>329</v>
      </c>
      <c r="D19" s="8" t="e">
        <f>VLOOKUP(C19,'Draft-Paysheet May 2026'!$C$4:$AL$51,37,0)</f>
        <v>#REF!</v>
      </c>
      <c r="E19" s="8" t="str">
        <f>VLOOKUP(C19,'Draft-Paysheet May 2026'!$C$4:$R$51,16,0)</f>
        <v>ICIC0006301</v>
      </c>
      <c r="F19" s="8" t="str">
        <f>VLOOKUP(C19,'Draft-Paysheet May 2026'!$C$4:$R$51,15,0)</f>
        <v>630101511988</v>
      </c>
      <c r="G19" s="7"/>
    </row>
    <row r="20" spans="1:7" ht="14.25" customHeight="1">
      <c r="A20" s="116">
        <v>50200059258233</v>
      </c>
      <c r="B20" s="7" t="s">
        <v>820</v>
      </c>
      <c r="C20" s="109" t="s">
        <v>362</v>
      </c>
      <c r="D20" s="8" t="e">
        <f>VLOOKUP(C20,'Draft-Paysheet May 2026'!$C$4:$AL$51,37,0)</f>
        <v>#REF!</v>
      </c>
      <c r="E20" s="8" t="str">
        <f>VLOOKUP(C20,'Draft-Paysheet May 2026'!$C$4:$R$51,16,0)</f>
        <v>ICIC0007218</v>
      </c>
      <c r="F20" s="8" t="str">
        <f>VLOOKUP(C20,'Draft-Paysheet May 2026'!$C$4:$R$51,15,0)</f>
        <v>721801500772</v>
      </c>
      <c r="G20" s="7"/>
    </row>
    <row r="21" spans="1:7" ht="14.25" customHeight="1">
      <c r="A21" s="116">
        <v>50200059258233</v>
      </c>
      <c r="B21" s="7" t="s">
        <v>820</v>
      </c>
      <c r="C21" s="109" t="s">
        <v>372</v>
      </c>
      <c r="D21" s="8" t="e">
        <f>VLOOKUP(C21,'Draft-Paysheet May 2026'!$C$4:$AL$51,37,0)</f>
        <v>#REF!</v>
      </c>
      <c r="E21" s="8" t="str">
        <f>VLOOKUP(C21,'Draft-Paysheet May 2026'!$C$4:$R$51,16,0)</f>
        <v>IDIB000T553</v>
      </c>
      <c r="F21" s="8" t="str">
        <f>VLOOKUP(C21,'Draft-Paysheet May 2026'!$C$4:$R$51,15,0)</f>
        <v>59084158508</v>
      </c>
      <c r="G21" s="7"/>
    </row>
    <row r="22" spans="1:7" ht="14.25" customHeight="1">
      <c r="A22" s="116">
        <v>50200059258233</v>
      </c>
      <c r="B22" s="7" t="s">
        <v>820</v>
      </c>
      <c r="C22" s="109" t="s">
        <v>384</v>
      </c>
      <c r="D22" s="8" t="e">
        <f>VLOOKUP(C22,'Draft-Paysheet May 2026'!$C$4:$AL$51,37,0)</f>
        <v>#REF!</v>
      </c>
      <c r="E22" s="8" t="str">
        <f>VLOOKUP(C22,'Draft-Paysheet May 2026'!$C$4:$R$51,16,0)</f>
        <v>KKBK0004575</v>
      </c>
      <c r="F22" s="8" t="str">
        <f>VLOOKUP(C22,'Draft-Paysheet May 2026'!$C$4:$R$51,15,0)</f>
        <v>7546347903</v>
      </c>
      <c r="G22" s="7"/>
    </row>
    <row r="23" spans="1:7" ht="14.25" customHeight="1">
      <c r="A23" s="116">
        <v>50200059258233</v>
      </c>
      <c r="B23" s="7" t="s">
        <v>820</v>
      </c>
      <c r="C23" s="109" t="s">
        <v>406</v>
      </c>
      <c r="D23" s="8" t="e">
        <f>VLOOKUP(C23,'Draft-Paysheet May 2026'!$C$4:$AL$51,37,0)</f>
        <v>#REF!</v>
      </c>
      <c r="E23" s="8" t="str">
        <f>VLOOKUP(C23,'Draft-Paysheet May 2026'!$C$4:$R$51,16,0)</f>
        <v>PUNB0509610</v>
      </c>
      <c r="F23" s="8" t="str">
        <f>VLOOKUP(C23,'Draft-Paysheet May 2026'!$C$4:$R$51,15,0)</f>
        <v>14952122003500</v>
      </c>
      <c r="G23" s="7"/>
    </row>
    <row r="24" spans="1:7" ht="14.25" customHeight="1">
      <c r="A24" s="116">
        <v>50200059258233</v>
      </c>
      <c r="B24" s="7" t="s">
        <v>820</v>
      </c>
      <c r="C24" s="109" t="s">
        <v>418</v>
      </c>
      <c r="D24" s="8" t="e">
        <f>VLOOKUP(C24,'Draft-Paysheet May 2026'!$C$4:$AL$51,37,0)</f>
        <v>#REF!</v>
      </c>
      <c r="E24" s="8" t="str">
        <f>VLOOKUP(C24,'Draft-Paysheet May 2026'!$C$4:$R$51,16,0)</f>
        <v>ICIC0006312</v>
      </c>
      <c r="F24" s="8" t="str">
        <f>VLOOKUP(C24,'Draft-Paysheet May 2026'!$C$4:$R$51,15,0)</f>
        <v>631201503816</v>
      </c>
      <c r="G24" s="7"/>
    </row>
    <row r="25" spans="1:7" ht="14.25" customHeight="1">
      <c r="A25" s="116">
        <v>50200059258233</v>
      </c>
      <c r="B25" s="7" t="s">
        <v>820</v>
      </c>
      <c r="C25" s="109" t="s">
        <v>823</v>
      </c>
      <c r="D25" s="8" t="e">
        <f>VLOOKUP(C25,'Draft-Paysheet May 2026'!$C$4:$AL$51,37,0)</f>
        <v>#N/A</v>
      </c>
      <c r="E25" s="8" t="e">
        <f>VLOOKUP(C25,'Draft-Paysheet May 2026'!$C$4:$R$51,16,0)</f>
        <v>#N/A</v>
      </c>
      <c r="F25" s="8" t="e">
        <f>VLOOKUP(C25,'Draft-Paysheet May 2026'!$C$4:$R$51,15,0)</f>
        <v>#N/A</v>
      </c>
      <c r="G25" s="7"/>
    </row>
    <row r="26" spans="1:7" ht="14.25" customHeight="1">
      <c r="A26" s="116">
        <v>50200059258233</v>
      </c>
      <c r="B26" s="7" t="s">
        <v>820</v>
      </c>
      <c r="C26" s="109" t="s">
        <v>824</v>
      </c>
      <c r="D26" s="8" t="e">
        <f>VLOOKUP(C26,'Draft-Paysheet May 2026'!$C$4:$AL$51,37,0)</f>
        <v>#N/A</v>
      </c>
      <c r="E26" s="8" t="e">
        <f>VLOOKUP(C26,'Draft-Paysheet May 2026'!$C$4:$R$51,16,0)</f>
        <v>#N/A</v>
      </c>
      <c r="F26" s="8" t="e">
        <f>VLOOKUP(C26,'Draft-Paysheet May 2026'!$C$4:$R$51,15,0)</f>
        <v>#N/A</v>
      </c>
      <c r="G26" s="7"/>
    </row>
    <row r="27" spans="1:7" ht="14.25" customHeight="1">
      <c r="A27" s="116">
        <v>50200059258233</v>
      </c>
      <c r="B27" s="7" t="s">
        <v>820</v>
      </c>
      <c r="C27" s="109" t="s">
        <v>825</v>
      </c>
      <c r="D27" s="8" t="e">
        <f>VLOOKUP(C27,'Draft-Paysheet May 2026'!$C$4:$AL$51,37,0)</f>
        <v>#N/A</v>
      </c>
      <c r="E27" s="8" t="e">
        <f>VLOOKUP(C27,'Draft-Paysheet May 2026'!$C$4:$R$51,16,0)</f>
        <v>#N/A</v>
      </c>
      <c r="F27" s="8" t="e">
        <f>VLOOKUP(C27,'Draft-Paysheet May 2026'!$C$4:$R$51,15,0)</f>
        <v>#N/A</v>
      </c>
      <c r="G27" s="7"/>
    </row>
    <row r="28" spans="1:7" ht="14.25" customHeight="1">
      <c r="A28" s="116">
        <v>50200059258233</v>
      </c>
      <c r="B28" s="7" t="s">
        <v>820</v>
      </c>
      <c r="C28" s="109" t="s">
        <v>464</v>
      </c>
      <c r="D28" s="8" t="e">
        <f>VLOOKUP(C28,'Draft-Paysheet May 2026'!$C$4:$AL$51,37,0)</f>
        <v>#REF!</v>
      </c>
      <c r="E28" s="8" t="str">
        <f>VLOOKUP(C28,'Draft-Paysheet May 2026'!$C$4:$R$51,16,0)</f>
        <v>HDFC0004754</v>
      </c>
      <c r="F28" s="8">
        <f>VLOOKUP(C28,'Draft-Paysheet May 2026'!$C$4:$R$51,15,0)</f>
        <v>50100832643671</v>
      </c>
      <c r="G28" s="7"/>
    </row>
    <row r="29" spans="1:7" ht="14.25" customHeight="1">
      <c r="A29" s="116">
        <v>50200059258233</v>
      </c>
      <c r="B29" s="7" t="s">
        <v>820</v>
      </c>
      <c r="C29" s="109" t="s">
        <v>828</v>
      </c>
      <c r="D29" s="8" t="e">
        <f>VLOOKUP(C29,'Draft-Paysheet May 2026'!$C$4:$AL$51,37,0)</f>
        <v>#N/A</v>
      </c>
      <c r="E29" s="8" t="e">
        <f>VLOOKUP(C29,'Draft-Paysheet May 2026'!$C$4:$R$51,16,0)</f>
        <v>#N/A</v>
      </c>
      <c r="F29" s="8" t="e">
        <f>VLOOKUP(C29,'Draft-Paysheet May 2026'!$C$4:$R$51,15,0)</f>
        <v>#N/A</v>
      </c>
      <c r="G29" s="7"/>
    </row>
    <row r="30" spans="1:7" ht="14.25" customHeight="1">
      <c r="A30" s="116">
        <v>50200059258233</v>
      </c>
      <c r="B30" s="7" t="s">
        <v>820</v>
      </c>
      <c r="C30" s="109" t="s">
        <v>830</v>
      </c>
      <c r="D30" s="8" t="e">
        <f>VLOOKUP(C30,'Draft-Paysheet May 2026'!$C$4:$AL$51,37,0)</f>
        <v>#N/A</v>
      </c>
      <c r="E30" s="8" t="e">
        <f>VLOOKUP(C30,'Draft-Paysheet May 2026'!$C$4:$R$51,16,0)</f>
        <v>#N/A</v>
      </c>
      <c r="F30" s="8" t="e">
        <f>VLOOKUP(C30,'Draft-Paysheet May 2026'!$C$4:$R$51,15,0)</f>
        <v>#N/A</v>
      </c>
      <c r="G30" s="7"/>
    </row>
    <row r="31" spans="1:7" ht="14.25" customHeight="1">
      <c r="A31" s="116">
        <v>50200059258233</v>
      </c>
      <c r="B31" s="7" t="s">
        <v>820</v>
      </c>
      <c r="C31" s="7" t="s">
        <v>831</v>
      </c>
      <c r="D31" s="8" t="e">
        <f>VLOOKUP(C31,'Draft-Paysheet May 2026'!$C$4:$AL$51,37,0)</f>
        <v>#N/A</v>
      </c>
      <c r="E31" s="8" t="e">
        <f>VLOOKUP(C31,'Draft-Paysheet May 2026'!$C$4:$R$51,16,0)</f>
        <v>#N/A</v>
      </c>
      <c r="F31" s="8" t="e">
        <f>VLOOKUP(C31,'Draft-Paysheet May 2026'!$C$4:$R$51,15,0)</f>
        <v>#N/A</v>
      </c>
      <c r="G31" s="7"/>
    </row>
    <row r="32" spans="1:7" ht="14.25" customHeight="1">
      <c r="A32" s="116">
        <v>50200059258233</v>
      </c>
      <c r="B32" s="7" t="s">
        <v>820</v>
      </c>
      <c r="C32" s="109" t="s">
        <v>484</v>
      </c>
      <c r="D32" s="8" t="e">
        <f>VLOOKUP(C32,'Draft-Paysheet May 2026'!$C$4:$AL$51,37,0)</f>
        <v>#REF!</v>
      </c>
      <c r="E32" s="8" t="str">
        <f>VLOOKUP(C32,'Draft-Paysheet May 2026'!$C$4:$R$51,16,0)</f>
        <v>UTIB0004122</v>
      </c>
      <c r="F32" s="8" t="str">
        <f>VLOOKUP(C32,'Draft-Paysheet May 2026'!$C$4:$R$51,15,0)</f>
        <v>922010024097820</v>
      </c>
      <c r="G32" s="7"/>
    </row>
    <row r="33" spans="1:7" ht="14.25" customHeight="1">
      <c r="A33" s="116">
        <v>50200059258233</v>
      </c>
      <c r="B33" s="7" t="s">
        <v>820</v>
      </c>
      <c r="C33" s="109" t="s">
        <v>783</v>
      </c>
      <c r="D33" s="8" t="e">
        <f>VLOOKUP(C33,'Draft-Paysheet May 2026'!$C$4:$AL$51,37,0)</f>
        <v>#N/A</v>
      </c>
      <c r="E33" s="8" t="e">
        <f>VLOOKUP(C33,'Draft-Paysheet May 2026'!$C$4:$R$51,16,0)</f>
        <v>#N/A</v>
      </c>
      <c r="F33" s="8" t="e">
        <f>VLOOKUP(C33,'Draft-Paysheet May 2026'!$C$4:$R$51,15,0)</f>
        <v>#N/A</v>
      </c>
      <c r="G33" s="7"/>
    </row>
    <row r="34" spans="1:7" ht="14.25" customHeight="1">
      <c r="A34" s="116">
        <v>50200059258233</v>
      </c>
      <c r="B34" s="7" t="s">
        <v>820</v>
      </c>
      <c r="C34" s="109" t="s">
        <v>835</v>
      </c>
      <c r="D34" s="8" t="e">
        <f>VLOOKUP(C34,'Draft-Paysheet May 2026'!$C$4:$AL$51,37,0)</f>
        <v>#N/A</v>
      </c>
      <c r="E34" s="8" t="e">
        <f>VLOOKUP(C34,'Draft-Paysheet May 2026'!$C$4:$R$51,16,0)</f>
        <v>#N/A</v>
      </c>
      <c r="F34" s="8" t="e">
        <f>VLOOKUP(C34,'Draft-Paysheet May 2026'!$C$4:$R$51,15,0)</f>
        <v>#N/A</v>
      </c>
      <c r="G34" s="7"/>
    </row>
    <row r="35" spans="1:7" ht="14.25" customHeight="1">
      <c r="A35" s="116">
        <v>50200059258233</v>
      </c>
      <c r="B35" s="7" t="s">
        <v>820</v>
      </c>
      <c r="C35" s="109" t="s">
        <v>516</v>
      </c>
      <c r="D35" s="8" t="e">
        <f>VLOOKUP(C35,'Draft-Paysheet May 2026'!$C$4:$AL$51,37,0)</f>
        <v>#REF!</v>
      </c>
      <c r="E35" s="8" t="str">
        <f>VLOOKUP(C35,'Draft-Paysheet May 2026'!$C$4:$R$51,16,0)</f>
        <v>CBIN0280320</v>
      </c>
      <c r="F35" s="8" t="str">
        <f>VLOOKUP(C35,'Draft-Paysheet May 2026'!$C$4:$R$51,15,0)</f>
        <v>3398624832</v>
      </c>
      <c r="G35" s="7"/>
    </row>
    <row r="36" spans="1:7" ht="14.25" customHeight="1">
      <c r="A36" s="116">
        <v>50200059258233</v>
      </c>
      <c r="B36" s="7" t="s">
        <v>820</v>
      </c>
      <c r="C36" s="109" t="s">
        <v>529</v>
      </c>
      <c r="D36" s="8" t="e">
        <f>VLOOKUP(C36,'Draft-Paysheet May 2026'!$C$4:$AL$51,37,0)</f>
        <v>#REF!</v>
      </c>
      <c r="E36" s="8" t="str">
        <f>VLOOKUP(C36,'Draft-Paysheet May 2026'!$C$4:$R$51,16,0)</f>
        <v>CNRB0002751</v>
      </c>
      <c r="F36" s="8" t="str">
        <f>VLOOKUP(C36,'Draft-Paysheet May 2026'!$C$4:$R$51,15,0)</f>
        <v>2751101037034</v>
      </c>
      <c r="G36" s="7"/>
    </row>
    <row r="37" spans="1:7" ht="14.25" customHeight="1">
      <c r="A37" s="116">
        <v>50200059258233</v>
      </c>
      <c r="B37" s="7" t="s">
        <v>820</v>
      </c>
      <c r="C37" s="109" t="s">
        <v>551</v>
      </c>
      <c r="D37" s="8" t="e">
        <f>VLOOKUP(C37,'Draft-Paysheet May 2026'!$C$4:$AL$51,37,0)</f>
        <v>#REF!</v>
      </c>
      <c r="E37" s="8" t="str">
        <f>VLOOKUP(C37,'Draft-Paysheet May 2026'!$C$4:$R$51,16,0)</f>
        <v>ICIC0006412</v>
      </c>
      <c r="F37" s="8" t="str">
        <f>VLOOKUP(C37,'Draft-Paysheet May 2026'!$C$4:$R$51,15,0)</f>
        <v>641201506765</v>
      </c>
      <c r="G37" s="7"/>
    </row>
    <row r="38" spans="1:7" ht="14.25" customHeight="1">
      <c r="A38" s="116">
        <v>50200059258233</v>
      </c>
      <c r="B38" s="7" t="s">
        <v>820</v>
      </c>
      <c r="C38" s="109" t="s">
        <v>562</v>
      </c>
      <c r="D38" s="8" t="e">
        <f>VLOOKUP(C38,'Draft-Paysheet May 2026'!$C$4:$AL$51,37,0)</f>
        <v>#REF!</v>
      </c>
      <c r="E38" s="8" t="str">
        <f>VLOOKUP(C38,'Draft-Paysheet May 2026'!$C$4:$R$51,16,0)</f>
        <v>BKID0007181</v>
      </c>
      <c r="F38" s="8" t="str">
        <f>VLOOKUP(C38,'Draft-Paysheet May 2026'!$C$4:$R$51,15,0)</f>
        <v>718110510001483</v>
      </c>
      <c r="G38" s="7"/>
    </row>
    <row r="39" spans="1:7" ht="14.25" customHeight="1">
      <c r="A39" s="116">
        <v>50200059258233</v>
      </c>
      <c r="B39" s="7" t="s">
        <v>820</v>
      </c>
      <c r="C39" s="109" t="s">
        <v>574</v>
      </c>
      <c r="D39" s="8" t="e">
        <f>VLOOKUP(C39,'Draft-Paysheet May 2026'!$C$4:$AL$51,37,0)</f>
        <v>#REF!</v>
      </c>
      <c r="E39" s="8" t="str">
        <f>VLOOKUP(C39,'Draft-Paysheet May 2026'!$C$4:$R$51,16,0)</f>
        <v>KKBK0007451</v>
      </c>
      <c r="F39" s="8" t="str">
        <f>VLOOKUP(C39,'Draft-Paysheet May 2026'!$C$4:$R$51,15,0)</f>
        <v>7611821611</v>
      </c>
      <c r="G39" s="7"/>
    </row>
    <row r="40" spans="1:7" ht="14.25" customHeight="1">
      <c r="A40" s="116">
        <v>50200059258233</v>
      </c>
      <c r="B40" s="112" t="s">
        <v>820</v>
      </c>
      <c r="C40" s="111" t="s">
        <v>596</v>
      </c>
      <c r="D40" s="8" t="e">
        <f>VLOOKUP(C40,'Draft-Paysheet May 2026'!$C$4:$AL$51,37,0)</f>
        <v>#REF!</v>
      </c>
      <c r="E40" s="8" t="str">
        <f>VLOOKUP(C40,'Draft-Paysheet May 2026'!$C$4:$R$51,16,0)</f>
        <v>RATN0000532</v>
      </c>
      <c r="F40" s="8" t="str">
        <f>VLOOKUP(C40,'Draft-Paysheet May 2026'!$C$4:$R$51,15,0)</f>
        <v>309028265632</v>
      </c>
      <c r="G40" s="7"/>
    </row>
    <row r="41" spans="1:7" ht="14.25" customHeight="1">
      <c r="A41" s="116">
        <v>50200059258233</v>
      </c>
      <c r="B41" s="7" t="s">
        <v>820</v>
      </c>
      <c r="C41" s="7" t="s">
        <v>608</v>
      </c>
      <c r="D41" s="8" t="e">
        <f>VLOOKUP(C41,'Draft-Paysheet May 2026'!$C$4:$AL$51,37,0)</f>
        <v>#REF!</v>
      </c>
      <c r="E41" s="8" t="str">
        <f>VLOOKUP(C41,'Draft-Paysheet May 2026'!$C$4:$R$51,16,0)</f>
        <v>SBIN0003308</v>
      </c>
      <c r="F41" s="8" t="str">
        <f>VLOOKUP(C41,'Draft-Paysheet May 2026'!$C$4:$R$51,15,0)</f>
        <v>33093018131</v>
      </c>
      <c r="G41" s="7"/>
    </row>
    <row r="42" spans="1:7" ht="14.25" customHeight="1">
      <c r="A42" s="116">
        <v>50200059258233</v>
      </c>
      <c r="B42" s="7" t="s">
        <v>820</v>
      </c>
      <c r="C42" s="7" t="s">
        <v>616</v>
      </c>
      <c r="D42" s="8" t="e">
        <f>VLOOKUP(C42,'Draft-Paysheet May 2026'!$C$4:$AL$51,37,0)</f>
        <v>#REF!</v>
      </c>
      <c r="E42" s="8" t="str">
        <f>VLOOKUP(C42,'Draft-Paysheet May 2026'!$C$4:$R$51,16,0)</f>
        <v>PUNB0491900</v>
      </c>
      <c r="F42" s="8" t="str">
        <f>VLOOKUP(C42,'Draft-Paysheet May 2026'!$C$4:$R$51,15,0)</f>
        <v>4919000100044435</v>
      </c>
      <c r="G42" s="7"/>
    </row>
    <row r="43" spans="1:7" ht="14.25" customHeight="1">
      <c r="A43" s="116">
        <v>50200059258233</v>
      </c>
      <c r="B43" s="7" t="s">
        <v>820</v>
      </c>
      <c r="C43" s="7" t="s">
        <v>624</v>
      </c>
      <c r="D43" s="8" t="e">
        <f>VLOOKUP(C43,'Draft-Paysheet May 2026'!$C$4:$AL$51,37,0)</f>
        <v>#REF!</v>
      </c>
      <c r="E43" s="8" t="str">
        <f>VLOOKUP(C43,'Draft-Paysheet May 2026'!$C$4:$R$51,16,0)</f>
        <v>CNRB0019904</v>
      </c>
      <c r="F43" s="28">
        <f>'Draft-Paysheet May 2026'!Q51</f>
        <v>110043317026</v>
      </c>
      <c r="G43" s="7"/>
    </row>
    <row r="44" spans="1:7" ht="14.25" customHeight="1">
      <c r="A44" s="37"/>
      <c r="B44" s="7"/>
      <c r="C44" s="7"/>
      <c r="D44" s="8"/>
      <c r="E44" s="8"/>
      <c r="F44" s="8"/>
      <c r="G44" s="7"/>
    </row>
    <row r="45" spans="1:7" ht="14.25" customHeight="1">
      <c r="A45" s="113"/>
      <c r="B45" s="113"/>
      <c r="C45" s="113" t="s">
        <v>839</v>
      </c>
      <c r="D45" s="114" t="e">
        <f>SUM(D2:D44)</f>
        <v>#REF!</v>
      </c>
      <c r="E45" s="114"/>
      <c r="F45" s="114"/>
      <c r="G45" s="113"/>
    </row>
    <row r="46" spans="1:7" ht="14.25" customHeight="1">
      <c r="D46" s="2"/>
      <c r="E46" s="2"/>
      <c r="F46" s="2"/>
    </row>
    <row r="47" spans="1:7" ht="14.25" customHeight="1">
      <c r="D47" s="2"/>
      <c r="E47" s="2"/>
      <c r="F47" s="2"/>
    </row>
    <row r="48" spans="1:7" ht="14.25" customHeight="1">
      <c r="D48" s="2"/>
      <c r="E48" s="2"/>
      <c r="F48" s="2"/>
    </row>
    <row r="49" spans="4:6" ht="14.25" customHeight="1">
      <c r="D49" s="2"/>
      <c r="E49" s="2"/>
      <c r="F49" s="2"/>
    </row>
    <row r="50" spans="4:6" ht="14.25" customHeight="1">
      <c r="D50" s="2"/>
      <c r="E50" s="2"/>
      <c r="F50" s="2"/>
    </row>
    <row r="51" spans="4:6" ht="14.25" customHeight="1">
      <c r="D51" s="2"/>
      <c r="E51" s="2"/>
      <c r="F51" s="2"/>
    </row>
    <row r="52" spans="4:6" ht="14.25" customHeight="1">
      <c r="D52" s="2"/>
      <c r="E52" s="2"/>
      <c r="F52" s="2"/>
    </row>
    <row r="53" spans="4:6" ht="14.25" customHeight="1">
      <c r="D53" s="2"/>
      <c r="E53" s="2"/>
      <c r="F53" s="2"/>
    </row>
    <row r="54" spans="4:6" ht="14.25" customHeight="1">
      <c r="D54" s="2"/>
      <c r="E54" s="2"/>
      <c r="F54" s="2"/>
    </row>
    <row r="55" spans="4:6" ht="14.25" customHeight="1">
      <c r="D55" s="2"/>
      <c r="E55" s="2"/>
      <c r="F55" s="2"/>
    </row>
    <row r="56" spans="4:6" ht="14.25" customHeight="1">
      <c r="D56" s="2"/>
      <c r="E56" s="2"/>
      <c r="F56" s="2"/>
    </row>
    <row r="57" spans="4:6" ht="14.25" customHeight="1">
      <c r="D57" s="2"/>
      <c r="E57" s="2"/>
      <c r="F57" s="2"/>
    </row>
    <row r="58" spans="4:6" ht="14.25" customHeight="1">
      <c r="D58" s="2"/>
      <c r="E58" s="2"/>
      <c r="F58" s="2"/>
    </row>
    <row r="59" spans="4:6" ht="14.25" customHeight="1">
      <c r="D59" s="2"/>
      <c r="E59" s="2"/>
      <c r="F59" s="2"/>
    </row>
    <row r="60" spans="4:6" ht="14.25" customHeight="1">
      <c r="D60" s="2"/>
      <c r="E60" s="2"/>
      <c r="F60" s="2"/>
    </row>
    <row r="61" spans="4:6" ht="14.25" customHeight="1">
      <c r="D61" s="2"/>
      <c r="E61" s="2"/>
      <c r="F61" s="2"/>
    </row>
    <row r="62" spans="4:6" ht="14.25" customHeight="1">
      <c r="D62" s="2"/>
      <c r="E62" s="2"/>
      <c r="F62" s="2"/>
    </row>
    <row r="63" spans="4:6" ht="14.25" customHeight="1">
      <c r="D63" s="2"/>
      <c r="E63" s="2"/>
      <c r="F63" s="2"/>
    </row>
    <row r="64" spans="4:6" ht="14.25" customHeight="1">
      <c r="D64" s="2"/>
      <c r="E64" s="2"/>
      <c r="F64" s="2"/>
    </row>
    <row r="65" spans="4:6" ht="14.25" customHeight="1">
      <c r="D65" s="2"/>
      <c r="E65" s="2"/>
      <c r="F65" s="2"/>
    </row>
    <row r="66" spans="4:6" ht="14.25" customHeight="1">
      <c r="D66" s="2"/>
      <c r="E66" s="2"/>
      <c r="F66" s="2"/>
    </row>
    <row r="67" spans="4:6" ht="14.25" customHeight="1">
      <c r="D67" s="2"/>
      <c r="E67" s="2"/>
      <c r="F67" s="2"/>
    </row>
    <row r="68" spans="4:6" ht="14.25" customHeight="1">
      <c r="D68" s="2"/>
      <c r="E68" s="2"/>
      <c r="F68" s="2"/>
    </row>
    <row r="69" spans="4:6" ht="14.25" customHeight="1">
      <c r="D69" s="2"/>
      <c r="E69" s="2"/>
      <c r="F69" s="2"/>
    </row>
    <row r="70" spans="4:6" ht="14.25" customHeight="1">
      <c r="D70" s="2"/>
      <c r="E70" s="2"/>
      <c r="F70" s="2"/>
    </row>
    <row r="71" spans="4:6" ht="14.25" customHeight="1">
      <c r="D71" s="2"/>
      <c r="E71" s="2"/>
      <c r="F71" s="2"/>
    </row>
    <row r="72" spans="4:6" ht="14.25" customHeight="1">
      <c r="D72" s="2"/>
      <c r="E72" s="2"/>
      <c r="F72" s="2"/>
    </row>
    <row r="73" spans="4:6" ht="14.25" customHeight="1">
      <c r="D73" s="2"/>
      <c r="E73" s="2"/>
      <c r="F73" s="2"/>
    </row>
    <row r="74" spans="4:6" ht="14.25" customHeight="1">
      <c r="D74" s="2"/>
      <c r="E74" s="2"/>
      <c r="F74" s="2"/>
    </row>
    <row r="75" spans="4:6" ht="14.25" customHeight="1">
      <c r="D75" s="2"/>
      <c r="E75" s="2"/>
      <c r="F75" s="2"/>
    </row>
    <row r="76" spans="4:6" ht="14.25" customHeight="1">
      <c r="D76" s="2"/>
      <c r="E76" s="2"/>
      <c r="F76" s="2"/>
    </row>
    <row r="77" spans="4:6" ht="14.25" customHeight="1">
      <c r="D77" s="2"/>
      <c r="E77" s="2"/>
      <c r="F77" s="2"/>
    </row>
    <row r="78" spans="4:6" ht="14.25" customHeight="1">
      <c r="D78" s="2"/>
      <c r="E78" s="2"/>
      <c r="F78" s="2"/>
    </row>
    <row r="79" spans="4:6" ht="14.25" customHeight="1">
      <c r="D79" s="2"/>
      <c r="E79" s="2"/>
      <c r="F79" s="2"/>
    </row>
    <row r="80" spans="4:6" ht="14.25" customHeight="1">
      <c r="D80" s="2"/>
      <c r="E80" s="2"/>
      <c r="F80" s="2"/>
    </row>
    <row r="81" spans="4:6" ht="14.25" customHeight="1">
      <c r="D81" s="2"/>
      <c r="E81" s="2"/>
      <c r="F81" s="2"/>
    </row>
    <row r="82" spans="4:6" ht="14.25" customHeight="1">
      <c r="D82" s="2"/>
      <c r="E82" s="2"/>
      <c r="F82" s="2"/>
    </row>
    <row r="83" spans="4:6" ht="14.25" customHeight="1">
      <c r="D83" s="2"/>
      <c r="E83" s="2"/>
      <c r="F83" s="2"/>
    </row>
    <row r="84" spans="4:6" ht="14.25" customHeight="1">
      <c r="D84" s="2"/>
      <c r="E84" s="2"/>
      <c r="F84" s="2"/>
    </row>
    <row r="85" spans="4:6" ht="14.25" customHeight="1">
      <c r="D85" s="2"/>
      <c r="E85" s="2"/>
      <c r="F85" s="2"/>
    </row>
    <row r="86" spans="4:6" ht="14.25" customHeight="1">
      <c r="D86" s="2"/>
      <c r="E86" s="2"/>
      <c r="F86" s="2"/>
    </row>
    <row r="87" spans="4:6" ht="14.25" customHeight="1">
      <c r="D87" s="2"/>
      <c r="E87" s="2"/>
      <c r="F87" s="2"/>
    </row>
    <row r="88" spans="4:6" ht="14.25" customHeight="1">
      <c r="D88" s="2"/>
      <c r="E88" s="2"/>
      <c r="F88" s="2"/>
    </row>
    <row r="89" spans="4:6" ht="14.25" customHeight="1">
      <c r="D89" s="2"/>
      <c r="E89" s="2"/>
      <c r="F89" s="2"/>
    </row>
    <row r="90" spans="4:6" ht="14.25" customHeight="1">
      <c r="D90" s="2"/>
      <c r="E90" s="2"/>
      <c r="F90" s="2"/>
    </row>
    <row r="91" spans="4:6" ht="14.25" customHeight="1">
      <c r="D91" s="2"/>
      <c r="E91" s="2"/>
      <c r="F91" s="2"/>
    </row>
    <row r="92" spans="4:6" ht="14.25" customHeight="1">
      <c r="D92" s="2"/>
      <c r="E92" s="2"/>
      <c r="F92" s="2"/>
    </row>
    <row r="93" spans="4:6" ht="14.25" customHeight="1">
      <c r="D93" s="2"/>
      <c r="E93" s="2"/>
      <c r="F93" s="2"/>
    </row>
    <row r="94" spans="4:6" ht="14.25" customHeight="1">
      <c r="D94" s="2"/>
      <c r="E94" s="2"/>
      <c r="F94" s="2"/>
    </row>
    <row r="95" spans="4:6" ht="14.25" customHeight="1">
      <c r="D95" s="2"/>
      <c r="E95" s="2"/>
      <c r="F95" s="2"/>
    </row>
    <row r="96" spans="4:6" ht="14.25" customHeight="1">
      <c r="D96" s="2"/>
      <c r="E96" s="2"/>
      <c r="F96" s="2"/>
    </row>
    <row r="97" spans="4:6" ht="14.25" customHeight="1">
      <c r="D97" s="2"/>
      <c r="E97" s="2"/>
      <c r="F97" s="2"/>
    </row>
    <row r="98" spans="4:6" ht="14.25" customHeight="1">
      <c r="D98" s="2"/>
      <c r="E98" s="2"/>
      <c r="F98" s="2"/>
    </row>
    <row r="99" spans="4:6" ht="14.25" customHeight="1">
      <c r="D99" s="2"/>
      <c r="E99" s="2"/>
      <c r="F99" s="2"/>
    </row>
    <row r="100" spans="4:6" ht="14.25" customHeight="1">
      <c r="D100" s="2"/>
      <c r="E100" s="2"/>
      <c r="F100" s="2"/>
    </row>
    <row r="101" spans="4:6" ht="14.25" customHeight="1">
      <c r="D101" s="2"/>
      <c r="E101" s="2"/>
      <c r="F101" s="2"/>
    </row>
    <row r="102" spans="4:6" ht="14.25" customHeight="1">
      <c r="D102" s="2"/>
      <c r="E102" s="2"/>
      <c r="F102" s="2"/>
    </row>
    <row r="103" spans="4:6" ht="14.25" customHeight="1">
      <c r="D103" s="2"/>
      <c r="E103" s="2"/>
      <c r="F103" s="2"/>
    </row>
    <row r="104" spans="4:6" ht="14.25" customHeight="1">
      <c r="D104" s="2"/>
      <c r="E104" s="2"/>
      <c r="F104" s="2"/>
    </row>
    <row r="105" spans="4:6" ht="14.25" customHeight="1">
      <c r="D105" s="2"/>
      <c r="E105" s="2"/>
      <c r="F105" s="2"/>
    </row>
    <row r="106" spans="4:6" ht="14.25" customHeight="1">
      <c r="D106" s="2"/>
      <c r="E106" s="2"/>
      <c r="F106" s="2"/>
    </row>
    <row r="107" spans="4:6" ht="14.25" customHeight="1">
      <c r="D107" s="2"/>
      <c r="E107" s="2"/>
      <c r="F107" s="2"/>
    </row>
    <row r="108" spans="4:6" ht="14.25" customHeight="1">
      <c r="D108" s="2"/>
      <c r="E108" s="2"/>
      <c r="F108" s="2"/>
    </row>
    <row r="109" spans="4:6" ht="14.25" customHeight="1">
      <c r="D109" s="2"/>
      <c r="E109" s="2"/>
      <c r="F109" s="2"/>
    </row>
    <row r="110" spans="4:6" ht="14.25" customHeight="1">
      <c r="D110" s="2"/>
      <c r="E110" s="2"/>
      <c r="F110" s="2"/>
    </row>
    <row r="111" spans="4:6" ht="14.25" customHeight="1">
      <c r="D111" s="2"/>
      <c r="E111" s="2"/>
      <c r="F111" s="2"/>
    </row>
    <row r="112" spans="4:6" ht="14.25" customHeight="1">
      <c r="D112" s="2"/>
      <c r="E112" s="2"/>
      <c r="F112" s="2"/>
    </row>
    <row r="113" spans="4:6" ht="14.25" customHeight="1">
      <c r="D113" s="2"/>
      <c r="E113" s="2"/>
      <c r="F113" s="2"/>
    </row>
    <row r="114" spans="4:6" ht="14.25" customHeight="1">
      <c r="D114" s="2"/>
      <c r="E114" s="2"/>
      <c r="F114" s="2"/>
    </row>
    <row r="115" spans="4:6" ht="14.25" customHeight="1">
      <c r="D115" s="2"/>
      <c r="E115" s="2"/>
      <c r="F115" s="2"/>
    </row>
    <row r="116" spans="4:6" ht="14.25" customHeight="1">
      <c r="D116" s="2"/>
      <c r="E116" s="2"/>
      <c r="F116" s="2"/>
    </row>
    <row r="117" spans="4:6" ht="14.25" customHeight="1">
      <c r="D117" s="2"/>
      <c r="E117" s="2"/>
      <c r="F117" s="2"/>
    </row>
    <row r="118" spans="4:6" ht="14.25" customHeight="1">
      <c r="D118" s="2"/>
      <c r="E118" s="2"/>
      <c r="F118" s="2"/>
    </row>
    <row r="119" spans="4:6" ht="14.25" customHeight="1">
      <c r="D119" s="2"/>
      <c r="E119" s="2"/>
      <c r="F119" s="2"/>
    </row>
    <row r="120" spans="4:6" ht="14.25" customHeight="1">
      <c r="D120" s="2"/>
      <c r="E120" s="2"/>
      <c r="F120" s="2"/>
    </row>
    <row r="121" spans="4:6" ht="14.25" customHeight="1">
      <c r="D121" s="2"/>
      <c r="E121" s="2"/>
      <c r="F121" s="2"/>
    </row>
    <row r="122" spans="4:6" ht="14.25" customHeight="1">
      <c r="D122" s="2"/>
      <c r="E122" s="2"/>
      <c r="F122" s="2"/>
    </row>
    <row r="123" spans="4:6" ht="14.25" customHeight="1">
      <c r="D123" s="2"/>
      <c r="E123" s="2"/>
      <c r="F123" s="2"/>
    </row>
    <row r="124" spans="4:6" ht="14.25" customHeight="1">
      <c r="D124" s="2"/>
      <c r="E124" s="2"/>
      <c r="F124" s="2"/>
    </row>
    <row r="125" spans="4:6" ht="14.25" customHeight="1">
      <c r="D125" s="2"/>
      <c r="E125" s="2"/>
      <c r="F125" s="2"/>
    </row>
    <row r="126" spans="4:6" ht="14.25" customHeight="1">
      <c r="D126" s="2"/>
      <c r="E126" s="2"/>
      <c r="F126" s="2"/>
    </row>
    <row r="127" spans="4:6" ht="14.25" customHeight="1">
      <c r="D127" s="2"/>
      <c r="E127" s="2"/>
      <c r="F127" s="2"/>
    </row>
    <row r="128" spans="4:6" ht="14.25" customHeight="1">
      <c r="D128" s="2"/>
      <c r="E128" s="2"/>
      <c r="F128" s="2"/>
    </row>
    <row r="129" spans="4:6" ht="14.25" customHeight="1">
      <c r="D129" s="2"/>
      <c r="E129" s="2"/>
      <c r="F129" s="2"/>
    </row>
    <row r="130" spans="4:6" ht="14.25" customHeight="1">
      <c r="D130" s="2"/>
      <c r="E130" s="2"/>
      <c r="F130" s="2"/>
    </row>
    <row r="131" spans="4:6" ht="14.25" customHeight="1">
      <c r="D131" s="2"/>
      <c r="E131" s="2"/>
      <c r="F131" s="2"/>
    </row>
    <row r="132" spans="4:6" ht="14.25" customHeight="1">
      <c r="D132" s="2"/>
      <c r="E132" s="2"/>
      <c r="F132" s="2"/>
    </row>
    <row r="133" spans="4:6" ht="14.25" customHeight="1">
      <c r="D133" s="2"/>
      <c r="E133" s="2"/>
      <c r="F133" s="2"/>
    </row>
    <row r="134" spans="4:6" ht="14.25" customHeight="1">
      <c r="D134" s="2"/>
      <c r="E134" s="2"/>
      <c r="F134" s="2"/>
    </row>
    <row r="135" spans="4:6" ht="14.25" customHeight="1">
      <c r="D135" s="2"/>
      <c r="E135" s="2"/>
      <c r="F135" s="2"/>
    </row>
    <row r="136" spans="4:6" ht="14.25" customHeight="1">
      <c r="D136" s="2"/>
      <c r="E136" s="2"/>
      <c r="F136" s="2"/>
    </row>
    <row r="137" spans="4:6" ht="14.25" customHeight="1">
      <c r="D137" s="2"/>
      <c r="E137" s="2"/>
      <c r="F137" s="2"/>
    </row>
    <row r="138" spans="4:6" ht="14.25" customHeight="1">
      <c r="D138" s="2"/>
      <c r="E138" s="2"/>
      <c r="F138" s="2"/>
    </row>
    <row r="139" spans="4:6" ht="14.25" customHeight="1">
      <c r="D139" s="2"/>
      <c r="E139" s="2"/>
      <c r="F139" s="2"/>
    </row>
    <row r="140" spans="4:6" ht="14.25" customHeight="1">
      <c r="D140" s="2"/>
      <c r="E140" s="2"/>
      <c r="F140" s="2"/>
    </row>
    <row r="141" spans="4:6" ht="14.25" customHeight="1">
      <c r="D141" s="2"/>
      <c r="E141" s="2"/>
      <c r="F141" s="2"/>
    </row>
    <row r="142" spans="4:6" ht="14.25" customHeight="1">
      <c r="D142" s="2"/>
      <c r="E142" s="2"/>
      <c r="F142" s="2"/>
    </row>
    <row r="143" spans="4:6" ht="14.25" customHeight="1">
      <c r="D143" s="2"/>
      <c r="E143" s="2"/>
      <c r="F143" s="2"/>
    </row>
    <row r="144" spans="4:6" ht="14.25" customHeight="1">
      <c r="D144" s="2"/>
      <c r="E144" s="2"/>
      <c r="F144" s="2"/>
    </row>
    <row r="145" spans="4:6" ht="14.25" customHeight="1">
      <c r="D145" s="2"/>
      <c r="E145" s="2"/>
      <c r="F145" s="2"/>
    </row>
    <row r="146" spans="4:6" ht="14.25" customHeight="1">
      <c r="D146" s="2"/>
      <c r="E146" s="2"/>
      <c r="F146" s="2"/>
    </row>
    <row r="147" spans="4:6" ht="14.25" customHeight="1">
      <c r="D147" s="2"/>
      <c r="E147" s="2"/>
      <c r="F147" s="2"/>
    </row>
    <row r="148" spans="4:6" ht="14.25" customHeight="1">
      <c r="D148" s="2"/>
      <c r="E148" s="2"/>
      <c r="F148" s="2"/>
    </row>
    <row r="149" spans="4:6" ht="14.25" customHeight="1">
      <c r="D149" s="2"/>
      <c r="E149" s="2"/>
      <c r="F149" s="2"/>
    </row>
    <row r="150" spans="4:6" ht="14.25" customHeight="1">
      <c r="D150" s="2"/>
      <c r="E150" s="2"/>
      <c r="F150" s="2"/>
    </row>
    <row r="151" spans="4:6" ht="14.25" customHeight="1">
      <c r="D151" s="2"/>
      <c r="E151" s="2"/>
      <c r="F151" s="2"/>
    </row>
    <row r="152" spans="4:6" ht="14.25" customHeight="1">
      <c r="D152" s="2"/>
      <c r="E152" s="2"/>
      <c r="F152" s="2"/>
    </row>
    <row r="153" spans="4:6" ht="14.25" customHeight="1">
      <c r="D153" s="2"/>
      <c r="E153" s="2"/>
      <c r="F153" s="2"/>
    </row>
    <row r="154" spans="4:6" ht="14.25" customHeight="1">
      <c r="D154" s="2"/>
      <c r="E154" s="2"/>
      <c r="F154" s="2"/>
    </row>
    <row r="155" spans="4:6" ht="14.25" customHeight="1">
      <c r="D155" s="2"/>
      <c r="E155" s="2"/>
      <c r="F155" s="2"/>
    </row>
    <row r="156" spans="4:6" ht="14.25" customHeight="1">
      <c r="D156" s="2"/>
      <c r="E156" s="2"/>
      <c r="F156" s="2"/>
    </row>
    <row r="157" spans="4:6" ht="14.25" customHeight="1">
      <c r="D157" s="2"/>
      <c r="E157" s="2"/>
      <c r="F157" s="2"/>
    </row>
    <row r="158" spans="4:6" ht="14.25" customHeight="1">
      <c r="D158" s="2"/>
      <c r="E158" s="2"/>
      <c r="F158" s="2"/>
    </row>
    <row r="159" spans="4:6" ht="14.25" customHeight="1">
      <c r="D159" s="2"/>
      <c r="E159" s="2"/>
      <c r="F159" s="2"/>
    </row>
    <row r="160" spans="4:6" ht="14.25" customHeight="1">
      <c r="D160" s="2"/>
      <c r="E160" s="2"/>
      <c r="F160" s="2"/>
    </row>
    <row r="161" spans="4:6" ht="14.25" customHeight="1">
      <c r="D161" s="2"/>
      <c r="E161" s="2"/>
      <c r="F161" s="2"/>
    </row>
    <row r="162" spans="4:6" ht="14.25" customHeight="1">
      <c r="D162" s="2"/>
      <c r="E162" s="2"/>
      <c r="F162" s="2"/>
    </row>
    <row r="163" spans="4:6" ht="14.25" customHeight="1">
      <c r="D163" s="2"/>
      <c r="E163" s="2"/>
      <c r="F163" s="2"/>
    </row>
    <row r="164" spans="4:6" ht="14.25" customHeight="1">
      <c r="D164" s="2"/>
      <c r="E164" s="2"/>
      <c r="F164" s="2"/>
    </row>
    <row r="165" spans="4:6" ht="14.25" customHeight="1">
      <c r="D165" s="2"/>
      <c r="E165" s="2"/>
      <c r="F165" s="2"/>
    </row>
    <row r="166" spans="4:6" ht="14.25" customHeight="1">
      <c r="D166" s="2"/>
      <c r="E166" s="2"/>
      <c r="F166" s="2"/>
    </row>
    <row r="167" spans="4:6" ht="14.25" customHeight="1">
      <c r="D167" s="2"/>
      <c r="E167" s="2"/>
      <c r="F167" s="2"/>
    </row>
    <row r="168" spans="4:6" ht="14.25" customHeight="1">
      <c r="D168" s="2"/>
      <c r="E168" s="2"/>
      <c r="F168" s="2"/>
    </row>
    <row r="169" spans="4:6" ht="14.25" customHeight="1">
      <c r="D169" s="2"/>
      <c r="E169" s="2"/>
      <c r="F169" s="2"/>
    </row>
    <row r="170" spans="4:6" ht="14.25" customHeight="1">
      <c r="D170" s="2"/>
      <c r="E170" s="2"/>
      <c r="F170" s="2"/>
    </row>
    <row r="171" spans="4:6" ht="14.25" customHeight="1">
      <c r="D171" s="2"/>
      <c r="E171" s="2"/>
      <c r="F171" s="2"/>
    </row>
    <row r="172" spans="4:6" ht="14.25" customHeight="1">
      <c r="D172" s="2"/>
      <c r="E172" s="2"/>
      <c r="F172" s="2"/>
    </row>
    <row r="173" spans="4:6" ht="14.25" customHeight="1">
      <c r="D173" s="2"/>
      <c r="E173" s="2"/>
      <c r="F173" s="2"/>
    </row>
    <row r="174" spans="4:6" ht="14.25" customHeight="1">
      <c r="D174" s="2"/>
      <c r="E174" s="2"/>
      <c r="F174" s="2"/>
    </row>
    <row r="175" spans="4:6" ht="14.25" customHeight="1">
      <c r="D175" s="2"/>
      <c r="E175" s="2"/>
      <c r="F175" s="2"/>
    </row>
    <row r="176" spans="4:6" ht="14.25" customHeight="1">
      <c r="D176" s="2"/>
      <c r="E176" s="2"/>
      <c r="F176" s="2"/>
    </row>
    <row r="177" spans="4:6" ht="14.25" customHeight="1">
      <c r="D177" s="2"/>
      <c r="E177" s="2"/>
      <c r="F177" s="2"/>
    </row>
    <row r="178" spans="4:6" ht="14.25" customHeight="1">
      <c r="D178" s="2"/>
      <c r="E178" s="2"/>
      <c r="F178" s="2"/>
    </row>
    <row r="179" spans="4:6" ht="14.25" customHeight="1">
      <c r="D179" s="2"/>
      <c r="E179" s="2"/>
      <c r="F179" s="2"/>
    </row>
    <row r="180" spans="4:6" ht="14.25" customHeight="1">
      <c r="D180" s="2"/>
      <c r="E180" s="2"/>
      <c r="F180" s="2"/>
    </row>
    <row r="181" spans="4:6" ht="14.25" customHeight="1">
      <c r="D181" s="2"/>
      <c r="E181" s="2"/>
      <c r="F181" s="2"/>
    </row>
    <row r="182" spans="4:6" ht="14.25" customHeight="1">
      <c r="D182" s="2"/>
      <c r="E182" s="2"/>
      <c r="F182" s="2"/>
    </row>
    <row r="183" spans="4:6" ht="14.25" customHeight="1">
      <c r="D183" s="2"/>
      <c r="E183" s="2"/>
      <c r="F183" s="2"/>
    </row>
    <row r="184" spans="4:6" ht="14.25" customHeight="1">
      <c r="D184" s="2"/>
      <c r="E184" s="2"/>
      <c r="F184" s="2"/>
    </row>
    <row r="185" spans="4:6" ht="14.25" customHeight="1">
      <c r="D185" s="2"/>
      <c r="E185" s="2"/>
      <c r="F185" s="2"/>
    </row>
    <row r="186" spans="4:6" ht="14.25" customHeight="1">
      <c r="D186" s="2"/>
      <c r="E186" s="2"/>
      <c r="F186" s="2"/>
    </row>
    <row r="187" spans="4:6" ht="14.25" customHeight="1">
      <c r="D187" s="2"/>
      <c r="E187" s="2"/>
      <c r="F187" s="2"/>
    </row>
    <row r="188" spans="4:6" ht="14.25" customHeight="1">
      <c r="D188" s="2"/>
      <c r="E188" s="2"/>
      <c r="F188" s="2"/>
    </row>
    <row r="189" spans="4:6" ht="14.25" customHeight="1">
      <c r="D189" s="2"/>
      <c r="E189" s="2"/>
      <c r="F189" s="2"/>
    </row>
    <row r="190" spans="4:6" ht="14.25" customHeight="1">
      <c r="D190" s="2"/>
      <c r="E190" s="2"/>
      <c r="F190" s="2"/>
    </row>
    <row r="191" spans="4:6" ht="14.25" customHeight="1">
      <c r="D191" s="2"/>
      <c r="E191" s="2"/>
      <c r="F191" s="2"/>
    </row>
    <row r="192" spans="4:6" ht="14.25" customHeight="1">
      <c r="D192" s="2"/>
      <c r="E192" s="2"/>
      <c r="F192" s="2"/>
    </row>
    <row r="193" spans="4:6" ht="14.25" customHeight="1">
      <c r="D193" s="2"/>
      <c r="E193" s="2"/>
      <c r="F193" s="2"/>
    </row>
    <row r="194" spans="4:6" ht="14.25" customHeight="1">
      <c r="D194" s="2"/>
      <c r="E194" s="2"/>
      <c r="F194" s="2"/>
    </row>
    <row r="195" spans="4:6" ht="14.25" customHeight="1">
      <c r="D195" s="2"/>
      <c r="E195" s="2"/>
      <c r="F195" s="2"/>
    </row>
    <row r="196" spans="4:6" ht="14.25" customHeight="1">
      <c r="D196" s="2"/>
      <c r="E196" s="2"/>
      <c r="F196" s="2"/>
    </row>
    <row r="197" spans="4:6" ht="14.25" customHeight="1">
      <c r="D197" s="2"/>
      <c r="E197" s="2"/>
      <c r="F197" s="2"/>
    </row>
    <row r="198" spans="4:6" ht="14.25" customHeight="1">
      <c r="D198" s="2"/>
      <c r="E198" s="2"/>
      <c r="F198" s="2"/>
    </row>
    <row r="199" spans="4:6" ht="14.25" customHeight="1">
      <c r="D199" s="2"/>
      <c r="E199" s="2"/>
      <c r="F199" s="2"/>
    </row>
    <row r="200" spans="4:6" ht="14.25" customHeight="1">
      <c r="D200" s="2"/>
      <c r="E200" s="2"/>
      <c r="F200" s="2"/>
    </row>
    <row r="201" spans="4:6" ht="14.25" customHeight="1">
      <c r="D201" s="2"/>
      <c r="E201" s="2"/>
      <c r="F201" s="2"/>
    </row>
    <row r="202" spans="4:6" ht="14.25" customHeight="1">
      <c r="D202" s="2"/>
      <c r="E202" s="2"/>
      <c r="F202" s="2"/>
    </row>
    <row r="203" spans="4:6" ht="14.25" customHeight="1">
      <c r="D203" s="2"/>
      <c r="E203" s="2"/>
      <c r="F203" s="2"/>
    </row>
    <row r="204" spans="4:6" ht="14.25" customHeight="1">
      <c r="D204" s="2"/>
      <c r="E204" s="2"/>
      <c r="F204" s="2"/>
    </row>
    <row r="205" spans="4:6" ht="14.25" customHeight="1">
      <c r="D205" s="2"/>
      <c r="E205" s="2"/>
      <c r="F205" s="2"/>
    </row>
    <row r="206" spans="4:6" ht="14.25" customHeight="1">
      <c r="D206" s="2"/>
      <c r="E206" s="2"/>
      <c r="F206" s="2"/>
    </row>
    <row r="207" spans="4:6" ht="14.25" customHeight="1">
      <c r="D207" s="2"/>
      <c r="E207" s="2"/>
      <c r="F207" s="2"/>
    </row>
    <row r="208" spans="4:6" ht="14.25" customHeight="1">
      <c r="D208" s="2"/>
      <c r="E208" s="2"/>
      <c r="F208" s="2"/>
    </row>
    <row r="209" spans="4:6" ht="14.25" customHeight="1">
      <c r="D209" s="2"/>
      <c r="E209" s="2"/>
      <c r="F209" s="2"/>
    </row>
    <row r="210" spans="4:6" ht="14.25" customHeight="1">
      <c r="D210" s="2"/>
      <c r="E210" s="2"/>
      <c r="F210" s="2"/>
    </row>
    <row r="211" spans="4:6" ht="14.25" customHeight="1">
      <c r="D211" s="2"/>
      <c r="E211" s="2"/>
      <c r="F211" s="2"/>
    </row>
    <row r="212" spans="4:6" ht="14.25" customHeight="1">
      <c r="D212" s="2"/>
      <c r="E212" s="2"/>
      <c r="F212" s="2"/>
    </row>
    <row r="213" spans="4:6" ht="14.25" customHeight="1">
      <c r="D213" s="2"/>
      <c r="E213" s="2"/>
      <c r="F213" s="2"/>
    </row>
    <row r="214" spans="4:6" ht="14.25" customHeight="1">
      <c r="D214" s="2"/>
      <c r="E214" s="2"/>
      <c r="F214" s="2"/>
    </row>
    <row r="215" spans="4:6" ht="14.25" customHeight="1">
      <c r="D215" s="2"/>
      <c r="E215" s="2"/>
      <c r="F215" s="2"/>
    </row>
    <row r="216" spans="4:6" ht="14.25" customHeight="1">
      <c r="D216" s="2"/>
      <c r="E216" s="2"/>
      <c r="F216" s="2"/>
    </row>
    <row r="217" spans="4:6" ht="14.25" customHeight="1">
      <c r="D217" s="2"/>
      <c r="E217" s="2"/>
      <c r="F217" s="2"/>
    </row>
    <row r="218" spans="4:6" ht="14.25" customHeight="1">
      <c r="D218" s="2"/>
      <c r="E218" s="2"/>
      <c r="F218" s="2"/>
    </row>
    <row r="219" spans="4:6" ht="14.25" customHeight="1">
      <c r="D219" s="2"/>
      <c r="E219" s="2"/>
      <c r="F219" s="2"/>
    </row>
    <row r="220" spans="4:6" ht="14.25" customHeight="1">
      <c r="D220" s="2"/>
      <c r="E220" s="2"/>
      <c r="F220" s="2"/>
    </row>
    <row r="221" spans="4:6" ht="14.25" customHeight="1">
      <c r="D221" s="2"/>
      <c r="E221" s="2"/>
      <c r="F221" s="2"/>
    </row>
    <row r="222" spans="4:6" ht="14.25" customHeight="1">
      <c r="D222" s="2"/>
      <c r="E222" s="2"/>
      <c r="F222" s="2"/>
    </row>
    <row r="223" spans="4:6" ht="14.25" customHeight="1">
      <c r="D223" s="2"/>
      <c r="E223" s="2"/>
      <c r="F223" s="2"/>
    </row>
    <row r="224" spans="4:6" ht="14.25" customHeight="1">
      <c r="D224" s="2"/>
      <c r="E224" s="2"/>
      <c r="F224" s="2"/>
    </row>
    <row r="225" spans="4:6" ht="14.25" customHeight="1">
      <c r="D225" s="2"/>
      <c r="E225" s="2"/>
      <c r="F225" s="2"/>
    </row>
    <row r="226" spans="4:6" ht="14.25" customHeight="1">
      <c r="D226" s="2"/>
      <c r="E226" s="2"/>
      <c r="F226" s="2"/>
    </row>
    <row r="227" spans="4:6" ht="14.25" customHeight="1">
      <c r="D227" s="2"/>
      <c r="E227" s="2"/>
      <c r="F227" s="2"/>
    </row>
    <row r="228" spans="4:6" ht="14.25" customHeight="1">
      <c r="D228" s="2"/>
      <c r="E228" s="2"/>
      <c r="F228" s="2"/>
    </row>
    <row r="229" spans="4:6" ht="14.25" customHeight="1">
      <c r="D229" s="2"/>
      <c r="E229" s="2"/>
      <c r="F229" s="2"/>
    </row>
    <row r="230" spans="4:6" ht="14.25" customHeight="1">
      <c r="D230" s="2"/>
      <c r="E230" s="2"/>
      <c r="F230" s="2"/>
    </row>
    <row r="231" spans="4:6" ht="14.25" customHeight="1">
      <c r="D231" s="2"/>
      <c r="E231" s="2"/>
      <c r="F231" s="2"/>
    </row>
    <row r="232" spans="4:6" ht="14.25" customHeight="1">
      <c r="D232" s="2"/>
      <c r="E232" s="2"/>
      <c r="F232" s="2"/>
    </row>
    <row r="233" spans="4:6" ht="14.25" customHeight="1">
      <c r="D233" s="2"/>
      <c r="E233" s="2"/>
      <c r="F233" s="2"/>
    </row>
    <row r="234" spans="4:6" ht="14.25" customHeight="1">
      <c r="D234" s="2"/>
      <c r="E234" s="2"/>
      <c r="F234" s="2"/>
    </row>
    <row r="235" spans="4:6" ht="14.25" customHeight="1">
      <c r="D235" s="2"/>
      <c r="E235" s="2"/>
      <c r="F235" s="2"/>
    </row>
    <row r="236" spans="4:6" ht="14.25" customHeight="1">
      <c r="D236" s="2"/>
      <c r="E236" s="2"/>
      <c r="F236" s="2"/>
    </row>
    <row r="237" spans="4:6" ht="14.25" customHeight="1">
      <c r="D237" s="2"/>
      <c r="E237" s="2"/>
      <c r="F237" s="2"/>
    </row>
    <row r="238" spans="4:6" ht="14.25" customHeight="1">
      <c r="D238" s="2"/>
      <c r="E238" s="2"/>
      <c r="F238" s="2"/>
    </row>
    <row r="239" spans="4:6" ht="14.25" customHeight="1">
      <c r="D239" s="2"/>
      <c r="E239" s="2"/>
      <c r="F239" s="2"/>
    </row>
    <row r="240" spans="4:6" ht="14.25" customHeight="1">
      <c r="D240" s="2"/>
      <c r="E240" s="2"/>
      <c r="F240" s="2"/>
    </row>
    <row r="241" spans="4:6" ht="14.25" customHeight="1">
      <c r="D241" s="2"/>
      <c r="E241" s="2"/>
      <c r="F241" s="2"/>
    </row>
    <row r="242" spans="4:6" ht="14.25" customHeight="1">
      <c r="D242" s="2"/>
      <c r="E242" s="2"/>
      <c r="F242" s="2"/>
    </row>
    <row r="243" spans="4:6" ht="14.25" customHeight="1">
      <c r="D243" s="2"/>
      <c r="E243" s="2"/>
      <c r="F243" s="2"/>
    </row>
    <row r="244" spans="4:6" ht="14.25" customHeight="1">
      <c r="D244" s="2"/>
      <c r="E244" s="2"/>
      <c r="F244" s="2"/>
    </row>
    <row r="245" spans="4:6" ht="14.25" customHeight="1">
      <c r="D245" s="2"/>
      <c r="E245" s="2"/>
      <c r="F245" s="2"/>
    </row>
    <row r="246" spans="4:6" ht="15.75" customHeight="1"/>
    <row r="247" spans="4:6" ht="15.75" customHeight="1"/>
    <row r="248" spans="4:6" ht="15.75" customHeight="1"/>
    <row r="249" spans="4:6" ht="15.75" customHeight="1"/>
    <row r="250" spans="4:6" ht="15.75" customHeight="1"/>
    <row r="251" spans="4:6" ht="15.75" customHeight="1"/>
    <row r="252" spans="4:6" ht="15.75" customHeight="1"/>
    <row r="253" spans="4:6" ht="15.75" customHeight="1"/>
    <row r="254" spans="4:6" ht="15.75" customHeight="1"/>
    <row r="255" spans="4:6" ht="15.75" customHeight="1"/>
    <row r="256" spans="4: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1000"/>
  <sheetViews>
    <sheetView workbookViewId="0"/>
  </sheetViews>
  <sheetFormatPr defaultColWidth="14.42578125" defaultRowHeight="15" customHeight="1"/>
  <cols>
    <col min="1" max="1" width="9.7109375" customWidth="1"/>
    <col min="2" max="2" width="14.5703125" customWidth="1"/>
    <col min="3" max="3" width="15.28515625" customWidth="1"/>
    <col min="4" max="4" width="11.42578125" customWidth="1"/>
    <col min="5" max="5" width="7.5703125" customWidth="1"/>
    <col min="6" max="6" width="12.28515625" customWidth="1"/>
    <col min="7" max="7" width="14.5703125" customWidth="1"/>
    <col min="8" max="8" width="12.28515625" customWidth="1"/>
    <col min="9" max="9" width="11.7109375" customWidth="1"/>
    <col min="10" max="10" width="11.42578125" customWidth="1"/>
    <col min="11" max="11" width="11.7109375" customWidth="1"/>
    <col min="12" max="12" width="13.7109375" customWidth="1"/>
    <col min="13" max="13" width="8.7109375" customWidth="1"/>
    <col min="14" max="14" width="4.7109375" customWidth="1"/>
    <col min="15" max="15" width="16.140625" customWidth="1"/>
    <col min="16" max="16" width="11.140625" customWidth="1"/>
    <col min="17" max="17" width="11.7109375" customWidth="1"/>
    <col min="18" max="18" width="10.140625" customWidth="1"/>
    <col min="19" max="19" width="17" customWidth="1"/>
    <col min="20" max="20" width="10.85546875" customWidth="1"/>
    <col min="21" max="21" width="14.85546875" customWidth="1"/>
    <col min="22" max="22" width="8.28515625" customWidth="1"/>
    <col min="23" max="23" width="8.85546875" customWidth="1"/>
    <col min="24" max="24" width="9.42578125" customWidth="1"/>
    <col min="25" max="25" width="9.7109375" customWidth="1"/>
    <col min="26" max="26" width="5.5703125" customWidth="1"/>
    <col min="27" max="27" width="11.5703125" customWidth="1"/>
    <col min="28" max="28" width="20.5703125" customWidth="1"/>
    <col min="29" max="29" width="11" customWidth="1"/>
    <col min="30" max="30" width="16.7109375" customWidth="1"/>
    <col min="31" max="31" width="13.140625" customWidth="1"/>
    <col min="32" max="32" width="13" customWidth="1"/>
    <col min="33" max="33" width="12.140625" customWidth="1"/>
    <col min="34" max="34" width="14.5703125" customWidth="1"/>
    <col min="35" max="35" width="4.42578125" customWidth="1"/>
    <col min="36" max="36" width="12.42578125" customWidth="1"/>
    <col min="37" max="37" width="14.42578125" customWidth="1"/>
    <col min="38" max="38" width="10" customWidth="1"/>
    <col min="39" max="39" width="4.7109375" customWidth="1"/>
    <col min="40" max="40" width="18.28515625" customWidth="1"/>
    <col min="41" max="44" width="8.7109375" customWidth="1"/>
  </cols>
  <sheetData>
    <row r="1" spans="1:44" ht="14.25" customHeight="1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  <c r="P1" s="3" t="s">
        <v>17</v>
      </c>
      <c r="Q1" s="3" t="s">
        <v>18</v>
      </c>
      <c r="R1" s="3" t="s">
        <v>19</v>
      </c>
      <c r="S1" s="3" t="s">
        <v>20</v>
      </c>
      <c r="T1" s="3" t="s">
        <v>21</v>
      </c>
      <c r="U1" s="3" t="s">
        <v>22</v>
      </c>
      <c r="V1" s="3" t="s">
        <v>23</v>
      </c>
      <c r="W1" s="3" t="s">
        <v>24</v>
      </c>
      <c r="X1" s="3" t="s">
        <v>25</v>
      </c>
      <c r="Y1" s="3" t="s">
        <v>26</v>
      </c>
      <c r="Z1" s="3" t="s">
        <v>27</v>
      </c>
      <c r="AA1" s="3" t="s">
        <v>28</v>
      </c>
      <c r="AB1" s="3" t="s">
        <v>29</v>
      </c>
      <c r="AC1" s="3" t="s">
        <v>30</v>
      </c>
      <c r="AD1" s="3" t="s">
        <v>31</v>
      </c>
      <c r="AE1" s="3" t="s">
        <v>32</v>
      </c>
      <c r="AF1" s="3" t="s">
        <v>863</v>
      </c>
      <c r="AG1" s="4" t="s">
        <v>33</v>
      </c>
      <c r="AH1" s="4" t="s">
        <v>34</v>
      </c>
      <c r="AI1" s="3" t="s">
        <v>35</v>
      </c>
      <c r="AJ1" s="3" t="s">
        <v>36</v>
      </c>
      <c r="AK1" s="3" t="s">
        <v>37</v>
      </c>
      <c r="AL1" s="3" t="s">
        <v>38</v>
      </c>
      <c r="AM1" s="3" t="s">
        <v>39</v>
      </c>
      <c r="AN1" s="23" t="s">
        <v>40</v>
      </c>
    </row>
    <row r="2" spans="1:44" ht="14.25" customHeight="1">
      <c r="A2" s="7" t="s">
        <v>864</v>
      </c>
      <c r="B2" s="7" t="s">
        <v>237</v>
      </c>
      <c r="C2" s="7" t="s">
        <v>238</v>
      </c>
      <c r="D2" s="7" t="s">
        <v>44</v>
      </c>
      <c r="E2" s="7" t="s">
        <v>86</v>
      </c>
      <c r="F2" s="7" t="s">
        <v>239</v>
      </c>
      <c r="G2" s="6">
        <v>45930</v>
      </c>
      <c r="H2" s="7" t="s">
        <v>240</v>
      </c>
      <c r="I2" s="7" t="s">
        <v>89</v>
      </c>
      <c r="J2" s="7" t="s">
        <v>101</v>
      </c>
      <c r="K2" s="7" t="s">
        <v>50</v>
      </c>
      <c r="L2" s="7" t="s">
        <v>50</v>
      </c>
      <c r="M2" s="7"/>
      <c r="N2" s="7" t="s">
        <v>241</v>
      </c>
      <c r="O2" s="7" t="s">
        <v>242</v>
      </c>
      <c r="P2" s="7" t="s">
        <v>232</v>
      </c>
      <c r="Q2" s="7" t="s">
        <v>243</v>
      </c>
      <c r="R2" s="7" t="s">
        <v>234</v>
      </c>
      <c r="S2" s="7" t="s">
        <v>244</v>
      </c>
      <c r="T2" s="7" t="s">
        <v>56</v>
      </c>
      <c r="U2" s="7" t="s">
        <v>245</v>
      </c>
      <c r="V2" s="7" t="s">
        <v>246</v>
      </c>
      <c r="W2" s="7">
        <v>31</v>
      </c>
      <c r="X2" s="7">
        <v>31</v>
      </c>
      <c r="Y2" s="7">
        <f t="shared" ref="Y2:Y23" si="0">W2-X2</f>
        <v>0</v>
      </c>
      <c r="Z2" s="7">
        <v>23650</v>
      </c>
      <c r="AA2" s="7">
        <v>0</v>
      </c>
      <c r="AB2" s="7">
        <v>0</v>
      </c>
      <c r="AC2" s="7">
        <v>0</v>
      </c>
      <c r="AD2" s="7">
        <v>0</v>
      </c>
      <c r="AE2" s="7"/>
      <c r="AF2" s="7"/>
      <c r="AG2" s="8">
        <f t="shared" ref="AG2:AG11" si="1">SUM(Z2:AD2)</f>
        <v>23650</v>
      </c>
      <c r="AH2" s="8">
        <f t="shared" ref="AH2:AH11" si="2">ROUND(AG2/W2*Y2,0)</f>
        <v>0</v>
      </c>
      <c r="AI2" s="7"/>
      <c r="AJ2" s="7"/>
      <c r="AK2" s="7">
        <v>0</v>
      </c>
      <c r="AL2" s="7">
        <v>0</v>
      </c>
      <c r="AM2" s="10">
        <v>0</v>
      </c>
      <c r="AN2" s="8">
        <f t="shared" ref="AN2:AN11" si="3">AH2-SUM(AJ2:AM2)</f>
        <v>0</v>
      </c>
      <c r="AQ2" s="13">
        <v>23650</v>
      </c>
    </row>
    <row r="3" spans="1:44" ht="14.25" customHeight="1">
      <c r="A3" s="7" t="s">
        <v>864</v>
      </c>
      <c r="B3" s="7" t="s">
        <v>258</v>
      </c>
      <c r="C3" s="7" t="s">
        <v>259</v>
      </c>
      <c r="D3" s="7" t="s">
        <v>260</v>
      </c>
      <c r="E3" s="7" t="s">
        <v>86</v>
      </c>
      <c r="F3" s="7" t="s">
        <v>261</v>
      </c>
      <c r="G3" s="6">
        <v>45930</v>
      </c>
      <c r="H3" s="7" t="s">
        <v>262</v>
      </c>
      <c r="I3" s="7" t="s">
        <v>89</v>
      </c>
      <c r="J3" s="7" t="s">
        <v>101</v>
      </c>
      <c r="K3" s="7" t="s">
        <v>50</v>
      </c>
      <c r="L3" s="7" t="s">
        <v>50</v>
      </c>
      <c r="M3" s="7"/>
      <c r="N3" s="7" t="s">
        <v>263</v>
      </c>
      <c r="O3" s="7" t="s">
        <v>264</v>
      </c>
      <c r="P3" s="7" t="s">
        <v>232</v>
      </c>
      <c r="Q3" s="7" t="s">
        <v>265</v>
      </c>
      <c r="R3" s="7" t="s">
        <v>234</v>
      </c>
      <c r="S3" s="7" t="s">
        <v>259</v>
      </c>
      <c r="T3" s="7" t="s">
        <v>56</v>
      </c>
      <c r="U3" s="7" t="s">
        <v>266</v>
      </c>
      <c r="V3" s="7" t="s">
        <v>267</v>
      </c>
      <c r="W3" s="7">
        <v>31</v>
      </c>
      <c r="X3" s="7">
        <v>31</v>
      </c>
      <c r="Y3" s="7">
        <f t="shared" si="0"/>
        <v>0</v>
      </c>
      <c r="Z3" s="7">
        <v>23650</v>
      </c>
      <c r="AA3" s="7">
        <v>0</v>
      </c>
      <c r="AB3" s="7">
        <v>0</v>
      </c>
      <c r="AC3" s="7">
        <v>0</v>
      </c>
      <c r="AD3" s="7">
        <v>0</v>
      </c>
      <c r="AE3" s="7"/>
      <c r="AF3" s="7"/>
      <c r="AG3" s="8">
        <f t="shared" si="1"/>
        <v>23650</v>
      </c>
      <c r="AH3" s="8">
        <f t="shared" si="2"/>
        <v>0</v>
      </c>
      <c r="AI3" s="7"/>
      <c r="AJ3" s="7"/>
      <c r="AK3" s="7">
        <v>0</v>
      </c>
      <c r="AL3" s="7">
        <v>0</v>
      </c>
      <c r="AM3" s="10">
        <v>0</v>
      </c>
      <c r="AN3" s="8">
        <f t="shared" si="3"/>
        <v>0</v>
      </c>
      <c r="AQ3" s="13">
        <v>23650</v>
      </c>
    </row>
    <row r="4" spans="1:44" ht="14.25" customHeight="1">
      <c r="A4" s="7" t="s">
        <v>864</v>
      </c>
      <c r="B4" s="7" t="s">
        <v>200</v>
      </c>
      <c r="C4" s="7" t="s">
        <v>201</v>
      </c>
      <c r="D4" s="7" t="s">
        <v>202</v>
      </c>
      <c r="E4" s="7" t="s">
        <v>45</v>
      </c>
      <c r="F4" s="7" t="s">
        <v>203</v>
      </c>
      <c r="G4" s="6">
        <v>45930</v>
      </c>
      <c r="H4" s="7" t="s">
        <v>204</v>
      </c>
      <c r="I4" s="7" t="s">
        <v>205</v>
      </c>
      <c r="J4" s="7" t="s">
        <v>206</v>
      </c>
      <c r="K4" s="7" t="s">
        <v>50</v>
      </c>
      <c r="L4" s="7" t="s">
        <v>50</v>
      </c>
      <c r="M4" s="7"/>
      <c r="N4" s="7" t="s">
        <v>207</v>
      </c>
      <c r="O4" s="7" t="s">
        <v>208</v>
      </c>
      <c r="P4" s="7" t="s">
        <v>209</v>
      </c>
      <c r="Q4" s="7" t="s">
        <v>210</v>
      </c>
      <c r="R4" s="7" t="s">
        <v>211</v>
      </c>
      <c r="S4" s="7" t="s">
        <v>201</v>
      </c>
      <c r="T4" s="7" t="s">
        <v>56</v>
      </c>
      <c r="U4" s="7" t="s">
        <v>212</v>
      </c>
      <c r="V4" s="7" t="s">
        <v>213</v>
      </c>
      <c r="W4" s="7">
        <v>31</v>
      </c>
      <c r="X4" s="7">
        <v>31</v>
      </c>
      <c r="Y4" s="7">
        <f t="shared" si="0"/>
        <v>0</v>
      </c>
      <c r="Z4" s="7">
        <v>21000</v>
      </c>
      <c r="AA4" s="7">
        <v>0</v>
      </c>
      <c r="AB4" s="7">
        <v>6500</v>
      </c>
      <c r="AC4" s="7">
        <v>0</v>
      </c>
      <c r="AD4" s="7">
        <v>0</v>
      </c>
      <c r="AE4" s="7"/>
      <c r="AF4" s="7"/>
      <c r="AG4" s="8">
        <f t="shared" si="1"/>
        <v>27500</v>
      </c>
      <c r="AH4" s="8">
        <f t="shared" si="2"/>
        <v>0</v>
      </c>
      <c r="AI4" s="7"/>
      <c r="AJ4" s="7"/>
      <c r="AK4" s="7">
        <v>0</v>
      </c>
      <c r="AL4" s="7">
        <v>0</v>
      </c>
      <c r="AM4" s="10">
        <v>0</v>
      </c>
      <c r="AN4" s="8">
        <f t="shared" si="3"/>
        <v>0</v>
      </c>
    </row>
    <row r="5" spans="1:44" ht="14.25" customHeight="1">
      <c r="A5" s="7" t="s">
        <v>864</v>
      </c>
      <c r="B5" s="7" t="s">
        <v>751</v>
      </c>
      <c r="C5" s="7" t="s">
        <v>843</v>
      </c>
      <c r="D5" s="7" t="s">
        <v>44</v>
      </c>
      <c r="E5" s="7" t="s">
        <v>86</v>
      </c>
      <c r="F5" s="7" t="s">
        <v>865</v>
      </c>
      <c r="G5" s="6">
        <v>45946</v>
      </c>
      <c r="H5" s="7" t="s">
        <v>866</v>
      </c>
      <c r="I5" s="7" t="s">
        <v>219</v>
      </c>
      <c r="J5" s="7" t="s">
        <v>136</v>
      </c>
      <c r="K5" s="7" t="s">
        <v>50</v>
      </c>
      <c r="L5" s="7" t="s">
        <v>50</v>
      </c>
      <c r="M5" s="7"/>
      <c r="N5" s="7" t="s">
        <v>867</v>
      </c>
      <c r="O5" s="7" t="s">
        <v>868</v>
      </c>
      <c r="P5" s="7" t="s">
        <v>232</v>
      </c>
      <c r="Q5" s="7" t="s">
        <v>869</v>
      </c>
      <c r="R5" s="7" t="s">
        <v>870</v>
      </c>
      <c r="S5" s="7" t="s">
        <v>843</v>
      </c>
      <c r="T5" s="7" t="s">
        <v>56</v>
      </c>
      <c r="U5" s="7" t="s">
        <v>871</v>
      </c>
      <c r="V5" s="7" t="s">
        <v>872</v>
      </c>
      <c r="W5" s="7">
        <v>31</v>
      </c>
      <c r="X5" s="12">
        <f>(16-0.4)</f>
        <v>15.6</v>
      </c>
      <c r="Y5" s="7">
        <f t="shared" si="0"/>
        <v>15.4</v>
      </c>
      <c r="Z5" s="7">
        <v>21000</v>
      </c>
      <c r="AA5" s="7">
        <v>0</v>
      </c>
      <c r="AB5" s="7">
        <v>9500</v>
      </c>
      <c r="AC5" s="7">
        <v>0</v>
      </c>
      <c r="AD5" s="7">
        <v>9500</v>
      </c>
      <c r="AE5" s="7"/>
      <c r="AF5" s="7"/>
      <c r="AG5" s="8">
        <f t="shared" si="1"/>
        <v>40000</v>
      </c>
      <c r="AH5" s="8">
        <f t="shared" si="2"/>
        <v>19871</v>
      </c>
      <c r="AI5" s="7"/>
      <c r="AJ5" s="7"/>
      <c r="AK5" s="7">
        <v>0</v>
      </c>
      <c r="AL5" s="7">
        <v>0</v>
      </c>
      <c r="AM5" s="10">
        <v>0</v>
      </c>
      <c r="AN5" s="8">
        <f t="shared" si="3"/>
        <v>19871</v>
      </c>
    </row>
    <row r="6" spans="1:44" ht="14.25" customHeight="1">
      <c r="A6" s="7" t="s">
        <v>864</v>
      </c>
      <c r="B6" s="7" t="s">
        <v>844</v>
      </c>
      <c r="C6" s="7" t="s">
        <v>845</v>
      </c>
      <c r="D6" s="7" t="s">
        <v>44</v>
      </c>
      <c r="E6" s="7" t="s">
        <v>45</v>
      </c>
      <c r="F6" s="7" t="s">
        <v>873</v>
      </c>
      <c r="G6" s="6">
        <v>45930</v>
      </c>
      <c r="H6" s="7" t="s">
        <v>874</v>
      </c>
      <c r="I6" s="7" t="s">
        <v>63</v>
      </c>
      <c r="J6" s="7" t="s">
        <v>123</v>
      </c>
      <c r="K6" s="7" t="s">
        <v>50</v>
      </c>
      <c r="L6" s="7" t="s">
        <v>50</v>
      </c>
      <c r="M6" s="7"/>
      <c r="N6" s="7" t="s">
        <v>875</v>
      </c>
      <c r="O6" s="7" t="s">
        <v>876</v>
      </c>
      <c r="P6" s="7" t="s">
        <v>232</v>
      </c>
      <c r="Q6" s="7" t="s">
        <v>877</v>
      </c>
      <c r="R6" s="7" t="s">
        <v>878</v>
      </c>
      <c r="S6" s="7" t="s">
        <v>845</v>
      </c>
      <c r="T6" s="7" t="s">
        <v>56</v>
      </c>
      <c r="U6" s="7" t="s">
        <v>879</v>
      </c>
      <c r="V6" s="7" t="s">
        <v>880</v>
      </c>
      <c r="W6" s="7">
        <v>31</v>
      </c>
      <c r="X6" s="7">
        <v>31</v>
      </c>
      <c r="Y6" s="7">
        <f t="shared" si="0"/>
        <v>0</v>
      </c>
      <c r="Z6" s="7">
        <v>32100</v>
      </c>
      <c r="AA6" s="7">
        <v>0</v>
      </c>
      <c r="AB6" s="7">
        <v>16050</v>
      </c>
      <c r="AC6" s="7">
        <v>0</v>
      </c>
      <c r="AD6" s="7">
        <v>16050</v>
      </c>
      <c r="AE6" s="7"/>
      <c r="AF6" s="7"/>
      <c r="AG6" s="8">
        <f t="shared" si="1"/>
        <v>64200</v>
      </c>
      <c r="AH6" s="8">
        <f t="shared" si="2"/>
        <v>0</v>
      </c>
      <c r="AI6" s="7"/>
      <c r="AJ6" s="7"/>
      <c r="AK6" s="7">
        <v>0</v>
      </c>
      <c r="AL6" s="7">
        <v>0</v>
      </c>
      <c r="AM6" s="10">
        <v>0</v>
      </c>
      <c r="AN6" s="8">
        <f t="shared" si="3"/>
        <v>0</v>
      </c>
    </row>
    <row r="7" spans="1:44" ht="14.25" customHeight="1">
      <c r="A7" s="7" t="s">
        <v>864</v>
      </c>
      <c r="B7" s="7" t="s">
        <v>846</v>
      </c>
      <c r="C7" s="7" t="s">
        <v>847</v>
      </c>
      <c r="D7" s="7" t="s">
        <v>44</v>
      </c>
      <c r="E7" s="7" t="s">
        <v>45</v>
      </c>
      <c r="F7" s="7" t="s">
        <v>881</v>
      </c>
      <c r="G7" s="6">
        <v>45930</v>
      </c>
      <c r="H7" s="7" t="s">
        <v>882</v>
      </c>
      <c r="I7" s="7" t="s">
        <v>63</v>
      </c>
      <c r="J7" s="7" t="s">
        <v>883</v>
      </c>
      <c r="K7" s="7" t="s">
        <v>50</v>
      </c>
      <c r="L7" s="7" t="s">
        <v>50</v>
      </c>
      <c r="M7" s="7"/>
      <c r="N7" s="7" t="s">
        <v>884</v>
      </c>
      <c r="O7" s="7" t="s">
        <v>885</v>
      </c>
      <c r="P7" s="7" t="s">
        <v>232</v>
      </c>
      <c r="Q7" s="7" t="s">
        <v>886</v>
      </c>
      <c r="R7" s="7" t="s">
        <v>878</v>
      </c>
      <c r="S7" s="7" t="s">
        <v>847</v>
      </c>
      <c r="T7" s="7" t="s">
        <v>56</v>
      </c>
      <c r="U7" s="7" t="s">
        <v>887</v>
      </c>
      <c r="V7" s="7" t="s">
        <v>888</v>
      </c>
      <c r="W7" s="7">
        <v>31</v>
      </c>
      <c r="X7" s="7">
        <v>31</v>
      </c>
      <c r="Y7" s="7">
        <f t="shared" si="0"/>
        <v>0</v>
      </c>
      <c r="Z7" s="7">
        <v>25000</v>
      </c>
      <c r="AA7" s="7">
        <v>0</v>
      </c>
      <c r="AB7" s="7">
        <v>0</v>
      </c>
      <c r="AC7" s="7">
        <v>0</v>
      </c>
      <c r="AD7" s="7">
        <v>0</v>
      </c>
      <c r="AE7" s="7"/>
      <c r="AF7" s="7"/>
      <c r="AG7" s="8">
        <f t="shared" si="1"/>
        <v>25000</v>
      </c>
      <c r="AH7" s="8">
        <f t="shared" si="2"/>
        <v>0</v>
      </c>
      <c r="AI7" s="7"/>
      <c r="AJ7" s="7"/>
      <c r="AK7" s="7">
        <v>0</v>
      </c>
      <c r="AL7" s="7">
        <v>0</v>
      </c>
      <c r="AM7" s="10">
        <v>0</v>
      </c>
      <c r="AN7" s="8">
        <f t="shared" si="3"/>
        <v>0</v>
      </c>
    </row>
    <row r="8" spans="1:44" ht="14.25" customHeight="1">
      <c r="A8" s="7" t="s">
        <v>864</v>
      </c>
      <c r="B8" s="7" t="s">
        <v>848</v>
      </c>
      <c r="C8" s="7" t="s">
        <v>849</v>
      </c>
      <c r="D8" s="7" t="s">
        <v>319</v>
      </c>
      <c r="E8" s="7" t="s">
        <v>45</v>
      </c>
      <c r="F8" s="7" t="s">
        <v>889</v>
      </c>
      <c r="G8" s="6">
        <v>45930</v>
      </c>
      <c r="H8" s="7" t="s">
        <v>890</v>
      </c>
      <c r="I8" s="7" t="s">
        <v>219</v>
      </c>
      <c r="J8" s="7" t="s">
        <v>76</v>
      </c>
      <c r="K8" s="7" t="s">
        <v>50</v>
      </c>
      <c r="L8" s="7" t="s">
        <v>50</v>
      </c>
      <c r="M8" s="7"/>
      <c r="N8" s="7" t="s">
        <v>891</v>
      </c>
      <c r="O8" s="7" t="s">
        <v>892</v>
      </c>
      <c r="P8" s="7" t="s">
        <v>232</v>
      </c>
      <c r="Q8" s="7" t="s">
        <v>893</v>
      </c>
      <c r="R8" s="7" t="s">
        <v>234</v>
      </c>
      <c r="S8" s="7" t="s">
        <v>849</v>
      </c>
      <c r="T8" s="7" t="s">
        <v>56</v>
      </c>
      <c r="U8" s="7" t="s">
        <v>894</v>
      </c>
      <c r="V8" s="7" t="s">
        <v>895</v>
      </c>
      <c r="W8" s="7">
        <v>31</v>
      </c>
      <c r="X8" s="7">
        <v>31</v>
      </c>
      <c r="Y8" s="7">
        <f t="shared" si="0"/>
        <v>0</v>
      </c>
      <c r="Z8" s="7">
        <v>30250</v>
      </c>
      <c r="AA8" s="7">
        <v>0</v>
      </c>
      <c r="AB8" s="7">
        <v>15125</v>
      </c>
      <c r="AC8" s="7">
        <v>0</v>
      </c>
      <c r="AD8" s="7">
        <v>15125</v>
      </c>
      <c r="AE8" s="7"/>
      <c r="AF8" s="7"/>
      <c r="AG8" s="8">
        <f t="shared" si="1"/>
        <v>60500</v>
      </c>
      <c r="AH8" s="8">
        <f t="shared" si="2"/>
        <v>0</v>
      </c>
      <c r="AI8" s="7"/>
      <c r="AJ8" s="7"/>
      <c r="AK8" s="7">
        <v>0</v>
      </c>
      <c r="AL8" s="7">
        <v>0</v>
      </c>
      <c r="AM8" s="10">
        <v>0</v>
      </c>
      <c r="AN8" s="8">
        <f t="shared" si="3"/>
        <v>0</v>
      </c>
    </row>
    <row r="9" spans="1:44" ht="14.25" customHeight="1">
      <c r="A9" s="7" t="s">
        <v>864</v>
      </c>
      <c r="B9" s="7" t="s">
        <v>896</v>
      </c>
      <c r="C9" s="7" t="s">
        <v>824</v>
      </c>
      <c r="D9" s="7" t="s">
        <v>897</v>
      </c>
      <c r="E9" s="7" t="s">
        <v>86</v>
      </c>
      <c r="F9" s="7" t="s">
        <v>898</v>
      </c>
      <c r="G9" s="6">
        <v>45930</v>
      </c>
      <c r="H9" s="7" t="s">
        <v>899</v>
      </c>
      <c r="I9" s="7" t="s">
        <v>205</v>
      </c>
      <c r="J9" s="7" t="s">
        <v>206</v>
      </c>
      <c r="K9" s="7" t="s">
        <v>50</v>
      </c>
      <c r="L9" s="7" t="s">
        <v>50</v>
      </c>
      <c r="M9" s="7"/>
      <c r="N9" s="7" t="s">
        <v>900</v>
      </c>
      <c r="O9" s="7" t="s">
        <v>901</v>
      </c>
      <c r="P9" s="7" t="s">
        <v>92</v>
      </c>
      <c r="Q9" s="7" t="s">
        <v>902</v>
      </c>
      <c r="R9" s="7" t="s">
        <v>903</v>
      </c>
      <c r="S9" s="7" t="s">
        <v>824</v>
      </c>
      <c r="T9" s="7" t="s">
        <v>174</v>
      </c>
      <c r="U9" s="7" t="s">
        <v>827</v>
      </c>
      <c r="V9" s="7" t="s">
        <v>904</v>
      </c>
      <c r="W9" s="7">
        <v>31</v>
      </c>
      <c r="X9" s="7">
        <v>31</v>
      </c>
      <c r="Y9" s="7">
        <f t="shared" si="0"/>
        <v>0</v>
      </c>
      <c r="Z9" s="7">
        <v>21000</v>
      </c>
      <c r="AA9" s="7">
        <v>0</v>
      </c>
      <c r="AB9" s="7">
        <v>7000</v>
      </c>
      <c r="AC9" s="7">
        <v>0</v>
      </c>
      <c r="AD9" s="7">
        <v>0</v>
      </c>
      <c r="AE9" s="7"/>
      <c r="AF9" s="7"/>
      <c r="AG9" s="8">
        <f t="shared" si="1"/>
        <v>28000</v>
      </c>
      <c r="AH9" s="8">
        <f t="shared" si="2"/>
        <v>0</v>
      </c>
      <c r="AI9" s="7"/>
      <c r="AJ9" s="7"/>
      <c r="AK9" s="7">
        <v>0</v>
      </c>
      <c r="AL9" s="7">
        <v>0</v>
      </c>
      <c r="AM9" s="10">
        <v>0</v>
      </c>
      <c r="AN9" s="8">
        <f t="shared" si="3"/>
        <v>0</v>
      </c>
    </row>
    <row r="10" spans="1:44" ht="14.25" customHeight="1">
      <c r="A10" s="7" t="s">
        <v>864</v>
      </c>
      <c r="B10" s="7" t="s">
        <v>905</v>
      </c>
      <c r="C10" s="7" t="s">
        <v>830</v>
      </c>
      <c r="D10" s="7" t="s">
        <v>906</v>
      </c>
      <c r="E10" s="7" t="s">
        <v>86</v>
      </c>
      <c r="F10" s="7" t="s">
        <v>907</v>
      </c>
      <c r="G10" s="6">
        <v>45958</v>
      </c>
      <c r="H10" s="7" t="s">
        <v>908</v>
      </c>
      <c r="I10" s="7" t="s">
        <v>219</v>
      </c>
      <c r="J10" s="7" t="s">
        <v>136</v>
      </c>
      <c r="K10" s="7" t="s">
        <v>50</v>
      </c>
      <c r="L10" s="7" t="s">
        <v>50</v>
      </c>
      <c r="M10" s="7"/>
      <c r="N10" s="7" t="s">
        <v>909</v>
      </c>
      <c r="O10" s="7" t="s">
        <v>910</v>
      </c>
      <c r="P10" s="7" t="s">
        <v>126</v>
      </c>
      <c r="Q10" s="7" t="s">
        <v>911</v>
      </c>
      <c r="R10" s="7" t="s">
        <v>912</v>
      </c>
      <c r="S10" s="7" t="s">
        <v>830</v>
      </c>
      <c r="T10" s="7" t="s">
        <v>174</v>
      </c>
      <c r="U10" s="7" t="s">
        <v>833</v>
      </c>
      <c r="V10" s="7" t="s">
        <v>913</v>
      </c>
      <c r="W10" s="7">
        <v>31</v>
      </c>
      <c r="X10" s="117">
        <v>5.5</v>
      </c>
      <c r="Y10" s="7">
        <f t="shared" si="0"/>
        <v>25.5</v>
      </c>
      <c r="Z10" s="7">
        <v>21000</v>
      </c>
      <c r="AA10" s="7">
        <v>0</v>
      </c>
      <c r="AB10" s="7">
        <v>4300</v>
      </c>
      <c r="AC10" s="7">
        <v>0</v>
      </c>
      <c r="AD10" s="7">
        <v>0</v>
      </c>
      <c r="AE10" s="7"/>
      <c r="AF10" s="7"/>
      <c r="AG10" s="8">
        <f t="shared" si="1"/>
        <v>25300</v>
      </c>
      <c r="AH10" s="8">
        <f t="shared" si="2"/>
        <v>20811</v>
      </c>
      <c r="AI10" s="7"/>
      <c r="AJ10" s="7"/>
      <c r="AK10" s="7">
        <v>0</v>
      </c>
      <c r="AL10" s="7">
        <v>0</v>
      </c>
      <c r="AM10" s="10">
        <v>0</v>
      </c>
      <c r="AN10" s="8">
        <f t="shared" si="3"/>
        <v>20811</v>
      </c>
    </row>
    <row r="11" spans="1:44" ht="14.25" customHeight="1">
      <c r="A11" s="7" t="s">
        <v>864</v>
      </c>
      <c r="B11" s="7" t="s">
        <v>914</v>
      </c>
      <c r="C11" s="7" t="s">
        <v>831</v>
      </c>
      <c r="D11" s="7" t="s">
        <v>915</v>
      </c>
      <c r="E11" s="7" t="s">
        <v>86</v>
      </c>
      <c r="F11" s="7" t="s">
        <v>916</v>
      </c>
      <c r="G11" s="6">
        <v>45930</v>
      </c>
      <c r="H11" s="7" t="s">
        <v>917</v>
      </c>
      <c r="I11" s="7" t="s">
        <v>219</v>
      </c>
      <c r="J11" s="7" t="s">
        <v>136</v>
      </c>
      <c r="K11" s="7" t="s">
        <v>50</v>
      </c>
      <c r="L11" s="7" t="s">
        <v>50</v>
      </c>
      <c r="M11" s="7"/>
      <c r="N11" s="7" t="s">
        <v>918</v>
      </c>
      <c r="O11" s="7" t="s">
        <v>919</v>
      </c>
      <c r="P11" s="7" t="s">
        <v>92</v>
      </c>
      <c r="Q11" s="7" t="s">
        <v>920</v>
      </c>
      <c r="R11" s="7" t="s">
        <v>921</v>
      </c>
      <c r="S11" s="7" t="s">
        <v>831</v>
      </c>
      <c r="T11" s="7" t="s">
        <v>174</v>
      </c>
      <c r="U11" s="7" t="s">
        <v>834</v>
      </c>
      <c r="V11" s="7" t="s">
        <v>922</v>
      </c>
      <c r="W11" s="7">
        <v>31</v>
      </c>
      <c r="X11" s="7">
        <v>31</v>
      </c>
      <c r="Y11" s="7">
        <f t="shared" si="0"/>
        <v>0</v>
      </c>
      <c r="Z11" s="7">
        <v>25000</v>
      </c>
      <c r="AA11" s="7">
        <v>0</v>
      </c>
      <c r="AB11" s="7">
        <v>0</v>
      </c>
      <c r="AC11" s="7">
        <v>0</v>
      </c>
      <c r="AD11" s="7">
        <v>0</v>
      </c>
      <c r="AE11" s="7"/>
      <c r="AF11" s="7"/>
      <c r="AG11" s="8">
        <f t="shared" si="1"/>
        <v>25000</v>
      </c>
      <c r="AH11" s="8">
        <f t="shared" si="2"/>
        <v>0</v>
      </c>
      <c r="AI11" s="7"/>
      <c r="AJ11" s="7"/>
      <c r="AK11" s="7">
        <v>0</v>
      </c>
      <c r="AL11" s="7">
        <v>0</v>
      </c>
      <c r="AM11" s="10">
        <v>0</v>
      </c>
      <c r="AN11" s="8">
        <f t="shared" si="3"/>
        <v>0</v>
      </c>
      <c r="AR11" s="13">
        <v>25000</v>
      </c>
    </row>
    <row r="12" spans="1:44" ht="14.25" customHeight="1">
      <c r="A12" s="7" t="s">
        <v>923</v>
      </c>
      <c r="B12" s="7" t="s">
        <v>268</v>
      </c>
      <c r="C12" s="7" t="s">
        <v>269</v>
      </c>
      <c r="D12" s="7" t="s">
        <v>270</v>
      </c>
      <c r="E12" s="7" t="s">
        <v>45</v>
      </c>
      <c r="F12" s="7" t="s">
        <v>271</v>
      </c>
      <c r="G12" s="118">
        <v>45972</v>
      </c>
      <c r="H12" s="7" t="s">
        <v>272</v>
      </c>
      <c r="I12" s="7" t="s">
        <v>89</v>
      </c>
      <c r="J12" s="7" t="s">
        <v>101</v>
      </c>
      <c r="K12" s="7" t="s">
        <v>50</v>
      </c>
      <c r="L12" s="7" t="s">
        <v>50</v>
      </c>
      <c r="M12" s="7"/>
      <c r="N12" s="7" t="s">
        <v>273</v>
      </c>
      <c r="O12" s="7" t="s">
        <v>274</v>
      </c>
      <c r="P12" s="7" t="s">
        <v>232</v>
      </c>
      <c r="Q12" s="7" t="s">
        <v>275</v>
      </c>
      <c r="R12" s="7" t="s">
        <v>276</v>
      </c>
      <c r="S12" s="7" t="s">
        <v>269</v>
      </c>
      <c r="T12" s="7" t="s">
        <v>56</v>
      </c>
      <c r="U12" s="7" t="s">
        <v>277</v>
      </c>
      <c r="V12" s="7" t="s">
        <v>278</v>
      </c>
      <c r="W12" s="7">
        <v>31</v>
      </c>
      <c r="X12" s="7">
        <v>0</v>
      </c>
      <c r="Y12" s="7">
        <f t="shared" si="0"/>
        <v>31</v>
      </c>
      <c r="Z12" s="7">
        <v>21000</v>
      </c>
      <c r="AA12" s="7">
        <v>0</v>
      </c>
      <c r="AB12" s="7">
        <v>3200</v>
      </c>
      <c r="AC12" s="7">
        <v>0</v>
      </c>
      <c r="AD12" s="7">
        <v>0</v>
      </c>
      <c r="AE12" s="8">
        <f t="shared" ref="AE12:AE23" si="4">SUM(Z12:AD12)</f>
        <v>24200</v>
      </c>
      <c r="AF12" s="8">
        <f t="shared" ref="AF12:AF23" si="5">ROUND(AE12/W12*Y12,0)</f>
        <v>24200</v>
      </c>
      <c r="AG12" s="7"/>
      <c r="AH12" s="7"/>
      <c r="AI12" s="7"/>
      <c r="AJ12" s="7">
        <v>0</v>
      </c>
      <c r="AK12" s="7">
        <v>0</v>
      </c>
      <c r="AL12" s="10">
        <v>0</v>
      </c>
      <c r="AM12" s="8">
        <f t="shared" ref="AM12:AM13" si="6">AF12-SUM(AI12:AL12)</f>
        <v>24200</v>
      </c>
    </row>
    <row r="13" spans="1:44" ht="14.25" customHeight="1">
      <c r="A13" s="7" t="s">
        <v>923</v>
      </c>
      <c r="B13" s="7" t="s">
        <v>850</v>
      </c>
      <c r="C13" s="7" t="s">
        <v>851</v>
      </c>
      <c r="D13" s="7" t="s">
        <v>924</v>
      </c>
      <c r="E13" s="7" t="s">
        <v>86</v>
      </c>
      <c r="F13" s="7" t="s">
        <v>925</v>
      </c>
      <c r="G13" s="39">
        <v>45880</v>
      </c>
      <c r="H13" s="7" t="s">
        <v>926</v>
      </c>
      <c r="I13" s="7" t="s">
        <v>219</v>
      </c>
      <c r="J13" s="7" t="s">
        <v>136</v>
      </c>
      <c r="K13" s="7" t="s">
        <v>50</v>
      </c>
      <c r="L13" s="7" t="s">
        <v>50</v>
      </c>
      <c r="M13" s="7"/>
      <c r="N13" s="7" t="s">
        <v>927</v>
      </c>
      <c r="O13" s="7" t="s">
        <v>928</v>
      </c>
      <c r="P13" s="7" t="s">
        <v>232</v>
      </c>
      <c r="Q13" s="7" t="s">
        <v>929</v>
      </c>
      <c r="R13" s="7" t="s">
        <v>930</v>
      </c>
      <c r="S13" s="7" t="s">
        <v>851</v>
      </c>
      <c r="T13" s="7" t="s">
        <v>56</v>
      </c>
      <c r="U13" s="7" t="s">
        <v>931</v>
      </c>
      <c r="V13" s="7" t="s">
        <v>932</v>
      </c>
      <c r="W13" s="7">
        <v>31</v>
      </c>
      <c r="X13" s="7">
        <v>0</v>
      </c>
      <c r="Y13" s="7">
        <f t="shared" si="0"/>
        <v>31</v>
      </c>
      <c r="Z13" s="7">
        <v>21175</v>
      </c>
      <c r="AA13" s="7">
        <v>0</v>
      </c>
      <c r="AB13" s="7">
        <v>10588</v>
      </c>
      <c r="AC13" s="7">
        <v>0</v>
      </c>
      <c r="AD13" s="7">
        <v>10588</v>
      </c>
      <c r="AE13" s="8">
        <f t="shared" si="4"/>
        <v>42351</v>
      </c>
      <c r="AF13" s="8">
        <f t="shared" si="5"/>
        <v>42351</v>
      </c>
      <c r="AG13" s="7"/>
      <c r="AH13" s="7"/>
      <c r="AI13" s="7"/>
      <c r="AJ13" s="7">
        <v>0</v>
      </c>
      <c r="AK13" s="7">
        <v>0</v>
      </c>
      <c r="AL13" s="10">
        <v>0</v>
      </c>
      <c r="AM13" s="8">
        <f t="shared" si="6"/>
        <v>42351</v>
      </c>
    </row>
    <row r="14" spans="1:44" ht="14.25" customHeight="1">
      <c r="A14" s="7" t="s">
        <v>923</v>
      </c>
      <c r="B14" s="7" t="s">
        <v>933</v>
      </c>
      <c r="C14" s="25" t="s">
        <v>835</v>
      </c>
      <c r="D14" s="7" t="s">
        <v>934</v>
      </c>
      <c r="E14" s="7" t="s">
        <v>45</v>
      </c>
      <c r="F14" s="7" t="s">
        <v>935</v>
      </c>
      <c r="G14" s="119">
        <v>45850</v>
      </c>
      <c r="H14" s="7" t="s">
        <v>936</v>
      </c>
      <c r="I14" s="7" t="s">
        <v>219</v>
      </c>
      <c r="J14" s="7" t="s">
        <v>136</v>
      </c>
      <c r="K14" s="7" t="s">
        <v>50</v>
      </c>
      <c r="L14" s="7" t="s">
        <v>50</v>
      </c>
      <c r="M14" s="7"/>
      <c r="N14" s="7" t="s">
        <v>937</v>
      </c>
      <c r="O14" s="7" t="s">
        <v>938</v>
      </c>
      <c r="P14" s="7" t="s">
        <v>939</v>
      </c>
      <c r="Q14" s="7" t="s">
        <v>940</v>
      </c>
      <c r="R14" s="7" t="s">
        <v>941</v>
      </c>
      <c r="S14" s="7" t="s">
        <v>835</v>
      </c>
      <c r="T14" s="7" t="s">
        <v>174</v>
      </c>
      <c r="U14" s="7" t="s">
        <v>838</v>
      </c>
      <c r="V14" s="7" t="s">
        <v>942</v>
      </c>
      <c r="W14" s="7">
        <v>31</v>
      </c>
      <c r="X14" s="7">
        <v>25</v>
      </c>
      <c r="Y14" s="7">
        <f t="shared" si="0"/>
        <v>6</v>
      </c>
      <c r="Z14" s="7">
        <v>21000</v>
      </c>
      <c r="AA14" s="7">
        <v>0</v>
      </c>
      <c r="AB14" s="7">
        <v>9500</v>
      </c>
      <c r="AC14" s="7">
        <v>0</v>
      </c>
      <c r="AD14" s="7">
        <v>9500</v>
      </c>
      <c r="AE14" s="8">
        <f t="shared" si="4"/>
        <v>40000</v>
      </c>
      <c r="AF14" s="8">
        <f t="shared" si="5"/>
        <v>7742</v>
      </c>
      <c r="AG14" s="7">
        <v>1500</v>
      </c>
      <c r="AH14" s="7"/>
      <c r="AI14" s="7"/>
      <c r="AJ14" s="7">
        <v>0</v>
      </c>
      <c r="AK14" s="7">
        <v>0</v>
      </c>
      <c r="AL14" s="10">
        <v>0</v>
      </c>
      <c r="AM14" s="8">
        <f>AF14-SUM(AI14:AL14)+AG14</f>
        <v>9242</v>
      </c>
    </row>
    <row r="15" spans="1:44" ht="14.25" customHeight="1">
      <c r="A15" s="7" t="s">
        <v>923</v>
      </c>
      <c r="B15" s="7" t="s">
        <v>854</v>
      </c>
      <c r="C15" s="25" t="s">
        <v>855</v>
      </c>
      <c r="D15" s="7" t="s">
        <v>597</v>
      </c>
      <c r="E15" s="7" t="s">
        <v>45</v>
      </c>
      <c r="F15" s="7" t="s">
        <v>943</v>
      </c>
      <c r="G15" s="7" t="s">
        <v>944</v>
      </c>
      <c r="H15" s="7" t="s">
        <v>945</v>
      </c>
      <c r="I15" s="7" t="s">
        <v>89</v>
      </c>
      <c r="J15" s="7" t="s">
        <v>136</v>
      </c>
      <c r="K15" s="7" t="s">
        <v>50</v>
      </c>
      <c r="L15" s="7" t="s">
        <v>50</v>
      </c>
      <c r="M15" s="7"/>
      <c r="N15" s="7" t="s">
        <v>946</v>
      </c>
      <c r="O15" s="7" t="s">
        <v>947</v>
      </c>
      <c r="P15" s="7" t="s">
        <v>232</v>
      </c>
      <c r="Q15" s="112" t="s">
        <v>948</v>
      </c>
      <c r="R15" s="7" t="s">
        <v>949</v>
      </c>
      <c r="S15" s="7" t="s">
        <v>855</v>
      </c>
      <c r="T15" s="7" t="s">
        <v>174</v>
      </c>
      <c r="U15" s="7" t="s">
        <v>950</v>
      </c>
      <c r="V15" s="7" t="s">
        <v>951</v>
      </c>
      <c r="W15" s="7">
        <v>31</v>
      </c>
      <c r="X15" s="7">
        <v>17</v>
      </c>
      <c r="Y15" s="7">
        <f t="shared" si="0"/>
        <v>14</v>
      </c>
      <c r="Z15" s="7">
        <v>21000</v>
      </c>
      <c r="AA15" s="7">
        <v>0</v>
      </c>
      <c r="AB15" s="7">
        <v>9000</v>
      </c>
      <c r="AC15" s="7">
        <v>0</v>
      </c>
      <c r="AD15" s="7">
        <v>9000</v>
      </c>
      <c r="AE15" s="8">
        <f t="shared" si="4"/>
        <v>39000</v>
      </c>
      <c r="AF15" s="8">
        <f t="shared" si="5"/>
        <v>17613</v>
      </c>
      <c r="AG15" s="7"/>
      <c r="AH15" s="7"/>
      <c r="AI15" s="7"/>
      <c r="AJ15" s="7">
        <v>0</v>
      </c>
      <c r="AK15" s="7">
        <v>0</v>
      </c>
      <c r="AL15" s="10">
        <v>0</v>
      </c>
      <c r="AM15" s="8">
        <f t="shared" ref="AM15:AM19" si="7">AF15-SUM(AI15:AL15)</f>
        <v>17613</v>
      </c>
    </row>
    <row r="16" spans="1:44" ht="14.25" customHeight="1">
      <c r="A16" s="7" t="s">
        <v>952</v>
      </c>
      <c r="B16" s="7" t="s">
        <v>953</v>
      </c>
      <c r="C16" s="12" t="s">
        <v>823</v>
      </c>
      <c r="D16" s="7" t="s">
        <v>954</v>
      </c>
      <c r="E16" s="7" t="s">
        <v>45</v>
      </c>
      <c r="F16" s="7" t="s">
        <v>955</v>
      </c>
      <c r="G16" s="119">
        <v>46023</v>
      </c>
      <c r="H16" s="7" t="s">
        <v>956</v>
      </c>
      <c r="I16" s="7" t="s">
        <v>219</v>
      </c>
      <c r="J16" s="7" t="s">
        <v>446</v>
      </c>
      <c r="K16" s="7" t="s">
        <v>50</v>
      </c>
      <c r="L16" s="7" t="s">
        <v>50</v>
      </c>
      <c r="M16" s="7"/>
      <c r="N16" s="7" t="s">
        <v>957</v>
      </c>
      <c r="O16" s="7" t="s">
        <v>958</v>
      </c>
      <c r="P16" s="7" t="s">
        <v>959</v>
      </c>
      <c r="Q16" s="7" t="s">
        <v>960</v>
      </c>
      <c r="R16" s="7" t="s">
        <v>961</v>
      </c>
      <c r="S16" s="7" t="s">
        <v>823</v>
      </c>
      <c r="T16" s="7" t="s">
        <v>56</v>
      </c>
      <c r="U16" s="7" t="s">
        <v>826</v>
      </c>
      <c r="V16" s="7" t="s">
        <v>962</v>
      </c>
      <c r="W16" s="7">
        <v>31</v>
      </c>
      <c r="X16" s="7">
        <v>0</v>
      </c>
      <c r="Y16" s="7">
        <f t="shared" si="0"/>
        <v>31</v>
      </c>
      <c r="Z16" s="7">
        <v>23100</v>
      </c>
      <c r="AA16" s="7">
        <v>0</v>
      </c>
      <c r="AB16" s="7">
        <v>11000</v>
      </c>
      <c r="AC16" s="7">
        <v>0</v>
      </c>
      <c r="AD16" s="7">
        <v>11000</v>
      </c>
      <c r="AE16" s="8">
        <f t="shared" si="4"/>
        <v>45100</v>
      </c>
      <c r="AF16" s="8">
        <f t="shared" si="5"/>
        <v>45100</v>
      </c>
      <c r="AG16" s="7"/>
      <c r="AH16" s="7"/>
      <c r="AI16" s="7"/>
      <c r="AJ16" s="7">
        <v>0</v>
      </c>
      <c r="AK16" s="7">
        <v>0</v>
      </c>
      <c r="AL16" s="10">
        <v>0</v>
      </c>
      <c r="AM16" s="8">
        <f t="shared" si="7"/>
        <v>45100</v>
      </c>
    </row>
    <row r="17" spans="1:39" ht="14.25" customHeight="1">
      <c r="A17" s="7" t="s">
        <v>952</v>
      </c>
      <c r="B17" s="7" t="s">
        <v>852</v>
      </c>
      <c r="C17" s="7" t="s">
        <v>853</v>
      </c>
      <c r="D17" s="7" t="s">
        <v>963</v>
      </c>
      <c r="E17" s="7" t="s">
        <v>86</v>
      </c>
      <c r="F17" s="7" t="s">
        <v>964</v>
      </c>
      <c r="G17" s="119">
        <v>46023</v>
      </c>
      <c r="H17" s="7" t="s">
        <v>965</v>
      </c>
      <c r="I17" s="7" t="s">
        <v>219</v>
      </c>
      <c r="J17" s="7" t="s">
        <v>543</v>
      </c>
      <c r="K17" s="7" t="s">
        <v>50</v>
      </c>
      <c r="L17" s="7" t="s">
        <v>50</v>
      </c>
      <c r="M17" s="7"/>
      <c r="N17" s="7" t="s">
        <v>966</v>
      </c>
      <c r="O17" s="7" t="s">
        <v>967</v>
      </c>
      <c r="P17" s="7" t="s">
        <v>232</v>
      </c>
      <c r="Q17" s="7" t="s">
        <v>968</v>
      </c>
      <c r="R17" s="7" t="s">
        <v>547</v>
      </c>
      <c r="S17" s="7" t="s">
        <v>853</v>
      </c>
      <c r="T17" s="7" t="s">
        <v>174</v>
      </c>
      <c r="U17" s="7" t="s">
        <v>969</v>
      </c>
      <c r="V17" s="7" t="s">
        <v>970</v>
      </c>
      <c r="W17" s="7">
        <v>31</v>
      </c>
      <c r="X17" s="7">
        <v>0</v>
      </c>
      <c r="Y17" s="7">
        <f t="shared" si="0"/>
        <v>31</v>
      </c>
      <c r="Z17" s="7">
        <v>21000</v>
      </c>
      <c r="AA17" s="7">
        <v>0</v>
      </c>
      <c r="AB17" s="7">
        <v>9500</v>
      </c>
      <c r="AC17" s="7">
        <v>0</v>
      </c>
      <c r="AD17" s="7">
        <v>9500</v>
      </c>
      <c r="AE17" s="8">
        <f t="shared" si="4"/>
        <v>40000</v>
      </c>
      <c r="AF17" s="8">
        <f t="shared" si="5"/>
        <v>40000</v>
      </c>
      <c r="AG17" s="7"/>
      <c r="AH17" s="7"/>
      <c r="AI17" s="7"/>
      <c r="AJ17" s="7">
        <v>0</v>
      </c>
      <c r="AK17" s="7">
        <v>0</v>
      </c>
      <c r="AL17" s="10">
        <v>0</v>
      </c>
      <c r="AM17" s="8">
        <f t="shared" si="7"/>
        <v>40000</v>
      </c>
    </row>
    <row r="18" spans="1:39" ht="14.25" customHeight="1">
      <c r="A18" s="7" t="s">
        <v>952</v>
      </c>
      <c r="B18" s="7" t="s">
        <v>856</v>
      </c>
      <c r="C18" s="7" t="s">
        <v>857</v>
      </c>
      <c r="D18" s="7" t="s">
        <v>971</v>
      </c>
      <c r="E18" s="7" t="s">
        <v>86</v>
      </c>
      <c r="F18" s="39">
        <v>37714</v>
      </c>
      <c r="G18" s="119">
        <v>46023</v>
      </c>
      <c r="H18" s="7"/>
      <c r="I18" s="7"/>
      <c r="J18" s="7" t="s">
        <v>543</v>
      </c>
      <c r="K18" s="7" t="s">
        <v>680</v>
      </c>
      <c r="L18" s="7" t="s">
        <v>680</v>
      </c>
      <c r="M18" s="7"/>
      <c r="N18" s="7"/>
      <c r="O18" s="7"/>
      <c r="P18" s="7" t="s">
        <v>232</v>
      </c>
      <c r="Q18" s="36" t="s">
        <v>972</v>
      </c>
      <c r="R18" s="7" t="s">
        <v>973</v>
      </c>
      <c r="S18" s="7" t="s">
        <v>974</v>
      </c>
      <c r="T18" s="7" t="s">
        <v>174</v>
      </c>
      <c r="U18" s="7"/>
      <c r="V18" s="7"/>
      <c r="W18" s="7">
        <v>31</v>
      </c>
      <c r="X18" s="7">
        <v>0</v>
      </c>
      <c r="Y18" s="7">
        <f t="shared" si="0"/>
        <v>31</v>
      </c>
      <c r="Z18" s="7">
        <v>22500</v>
      </c>
      <c r="AA18" s="7"/>
      <c r="AB18" s="7">
        <v>11250</v>
      </c>
      <c r="AC18" s="7">
        <v>0</v>
      </c>
      <c r="AD18" s="7">
        <v>11250</v>
      </c>
      <c r="AE18" s="8">
        <f t="shared" si="4"/>
        <v>45000</v>
      </c>
      <c r="AF18" s="8">
        <f t="shared" si="5"/>
        <v>45000</v>
      </c>
      <c r="AG18" s="7"/>
      <c r="AH18" s="13">
        <v>0</v>
      </c>
      <c r="AI18" s="7">
        <v>0</v>
      </c>
      <c r="AJ18" s="7">
        <v>0</v>
      </c>
      <c r="AK18" s="7">
        <v>0</v>
      </c>
      <c r="AL18" s="7">
        <v>0</v>
      </c>
      <c r="AM18" s="8">
        <f t="shared" si="7"/>
        <v>45000</v>
      </c>
    </row>
    <row r="19" spans="1:39" ht="14.25" customHeight="1">
      <c r="A19" s="7" t="s">
        <v>952</v>
      </c>
      <c r="B19" s="7" t="s">
        <v>975</v>
      </c>
      <c r="C19" s="7" t="s">
        <v>825</v>
      </c>
      <c r="D19" s="7" t="s">
        <v>455</v>
      </c>
      <c r="E19" s="7" t="s">
        <v>45</v>
      </c>
      <c r="F19" s="7" t="s">
        <v>976</v>
      </c>
      <c r="G19" s="119">
        <v>46023</v>
      </c>
      <c r="H19" s="7" t="s">
        <v>977</v>
      </c>
      <c r="I19" s="7" t="s">
        <v>219</v>
      </c>
      <c r="J19" s="7" t="s">
        <v>446</v>
      </c>
      <c r="K19" s="7" t="s">
        <v>50</v>
      </c>
      <c r="L19" s="7" t="s">
        <v>50</v>
      </c>
      <c r="M19" s="7"/>
      <c r="N19" s="7" t="s">
        <v>978</v>
      </c>
      <c r="O19" s="7" t="s">
        <v>979</v>
      </c>
      <c r="P19" s="7" t="s">
        <v>53</v>
      </c>
      <c r="Q19" s="7" t="s">
        <v>980</v>
      </c>
      <c r="R19" s="7" t="s">
        <v>981</v>
      </c>
      <c r="S19" s="7" t="s">
        <v>825</v>
      </c>
      <c r="T19" s="7" t="s">
        <v>174</v>
      </c>
      <c r="U19" s="7" t="s">
        <v>829</v>
      </c>
      <c r="V19" s="7" t="s">
        <v>982</v>
      </c>
      <c r="W19" s="7">
        <v>31</v>
      </c>
      <c r="X19" s="7">
        <v>0</v>
      </c>
      <c r="Y19" s="7">
        <f t="shared" si="0"/>
        <v>31</v>
      </c>
      <c r="Z19" s="7">
        <v>23650</v>
      </c>
      <c r="AA19" s="7">
        <v>0</v>
      </c>
      <c r="AB19" s="7">
        <v>11825</v>
      </c>
      <c r="AC19" s="7">
        <v>0</v>
      </c>
      <c r="AD19" s="7">
        <v>11825</v>
      </c>
      <c r="AE19" s="8">
        <f t="shared" si="4"/>
        <v>47300</v>
      </c>
      <c r="AF19" s="8">
        <f t="shared" si="5"/>
        <v>47300</v>
      </c>
      <c r="AG19" s="7"/>
      <c r="AH19" s="7"/>
      <c r="AI19" s="7"/>
      <c r="AJ19" s="7">
        <v>0</v>
      </c>
      <c r="AK19" s="7">
        <v>0</v>
      </c>
      <c r="AL19" s="10">
        <v>0</v>
      </c>
      <c r="AM19" s="8">
        <f t="shared" si="7"/>
        <v>47300</v>
      </c>
    </row>
    <row r="20" spans="1:39" ht="14.25" customHeight="1">
      <c r="A20" s="24" t="s">
        <v>293</v>
      </c>
      <c r="B20" s="7" t="s">
        <v>119</v>
      </c>
      <c r="C20" s="25" t="s">
        <v>120</v>
      </c>
      <c r="D20" s="7" t="s">
        <v>44</v>
      </c>
      <c r="E20" s="7" t="s">
        <v>45</v>
      </c>
      <c r="F20" s="7" t="s">
        <v>121</v>
      </c>
      <c r="G20" s="7"/>
      <c r="H20" s="7" t="s">
        <v>122</v>
      </c>
      <c r="I20" s="7" t="s">
        <v>63</v>
      </c>
      <c r="J20" s="7" t="s">
        <v>123</v>
      </c>
      <c r="K20" s="7" t="s">
        <v>50</v>
      </c>
      <c r="L20" s="7" t="s">
        <v>50</v>
      </c>
      <c r="M20" s="7"/>
      <c r="N20" s="7" t="s">
        <v>124</v>
      </c>
      <c r="O20" s="7" t="s">
        <v>125</v>
      </c>
      <c r="P20" s="7" t="s">
        <v>126</v>
      </c>
      <c r="Q20" s="7" t="s">
        <v>127</v>
      </c>
      <c r="R20" s="7" t="s">
        <v>128</v>
      </c>
      <c r="S20" s="7" t="s">
        <v>120</v>
      </c>
      <c r="T20" s="7" t="s">
        <v>56</v>
      </c>
      <c r="U20" s="7" t="s">
        <v>129</v>
      </c>
      <c r="V20" s="7" t="s">
        <v>130</v>
      </c>
      <c r="W20" s="24">
        <v>31</v>
      </c>
      <c r="X20" s="25"/>
      <c r="Y20" s="7">
        <f t="shared" si="0"/>
        <v>31</v>
      </c>
      <c r="Z20" s="7">
        <v>51900</v>
      </c>
      <c r="AA20" s="7">
        <v>0</v>
      </c>
      <c r="AB20" s="7">
        <v>25950</v>
      </c>
      <c r="AC20" s="7">
        <v>0</v>
      </c>
      <c r="AD20" s="7">
        <v>25950</v>
      </c>
      <c r="AE20" s="8">
        <f t="shared" si="4"/>
        <v>103800</v>
      </c>
      <c r="AF20" s="8">
        <f t="shared" si="5"/>
        <v>103800</v>
      </c>
      <c r="AG20" s="24">
        <v>0</v>
      </c>
      <c r="AH20" s="7"/>
      <c r="AI20" s="24">
        <v>0</v>
      </c>
      <c r="AJ20" s="7">
        <v>0</v>
      </c>
      <c r="AK20" s="10">
        <v>0</v>
      </c>
      <c r="AL20" s="8">
        <f>AF20-SUM(AH20:AK20)+AG20</f>
        <v>103800</v>
      </c>
    </row>
    <row r="21" spans="1:39" ht="14.25" customHeight="1">
      <c r="A21" s="24" t="s">
        <v>293</v>
      </c>
      <c r="B21" s="7" t="s">
        <v>769</v>
      </c>
      <c r="C21" s="25" t="s">
        <v>770</v>
      </c>
      <c r="D21" s="7" t="s">
        <v>954</v>
      </c>
      <c r="E21" s="7" t="s">
        <v>45</v>
      </c>
      <c r="F21" s="7" t="s">
        <v>983</v>
      </c>
      <c r="G21" s="7" t="s">
        <v>984</v>
      </c>
      <c r="H21" s="7" t="s">
        <v>985</v>
      </c>
      <c r="I21" s="7" t="s">
        <v>219</v>
      </c>
      <c r="J21" s="7" t="s">
        <v>446</v>
      </c>
      <c r="K21" s="7" t="s">
        <v>50</v>
      </c>
      <c r="L21" s="7" t="s">
        <v>50</v>
      </c>
      <c r="M21" s="7"/>
      <c r="N21" s="7" t="s">
        <v>986</v>
      </c>
      <c r="O21" s="7" t="s">
        <v>987</v>
      </c>
      <c r="P21" s="7" t="s">
        <v>232</v>
      </c>
      <c r="Q21" s="7" t="s">
        <v>988</v>
      </c>
      <c r="R21" s="7" t="s">
        <v>989</v>
      </c>
      <c r="S21" s="7" t="s">
        <v>770</v>
      </c>
      <c r="T21" s="7" t="s">
        <v>56</v>
      </c>
      <c r="U21" s="7" t="s">
        <v>990</v>
      </c>
      <c r="V21" s="7" t="s">
        <v>991</v>
      </c>
      <c r="W21" s="24">
        <v>31</v>
      </c>
      <c r="X21" s="25"/>
      <c r="Y21" s="7">
        <f t="shared" si="0"/>
        <v>31</v>
      </c>
      <c r="Z21" s="7">
        <v>24750</v>
      </c>
      <c r="AA21" s="7">
        <v>0</v>
      </c>
      <c r="AB21" s="7">
        <v>12375</v>
      </c>
      <c r="AC21" s="7">
        <v>0</v>
      </c>
      <c r="AD21" s="7">
        <v>12375</v>
      </c>
      <c r="AE21" s="8">
        <f t="shared" si="4"/>
        <v>49500</v>
      </c>
      <c r="AF21" s="8">
        <f t="shared" si="5"/>
        <v>49500</v>
      </c>
      <c r="AG21" s="7"/>
      <c r="AH21" s="7"/>
      <c r="AI21" s="7">
        <v>0</v>
      </c>
      <c r="AJ21" s="7">
        <v>0</v>
      </c>
      <c r="AK21" s="10">
        <v>0</v>
      </c>
      <c r="AL21" s="8">
        <f t="shared" ref="AL21:AL22" si="8">AF21-SUM(AH21:AK21)</f>
        <v>49500</v>
      </c>
    </row>
    <row r="22" spans="1:39" ht="14.25" customHeight="1">
      <c r="A22" s="24" t="s">
        <v>293</v>
      </c>
      <c r="B22" s="7" t="s">
        <v>782</v>
      </c>
      <c r="C22" s="25" t="s">
        <v>783</v>
      </c>
      <c r="D22" s="7" t="s">
        <v>485</v>
      </c>
      <c r="E22" s="7" t="s">
        <v>45</v>
      </c>
      <c r="F22" s="7" t="s">
        <v>992</v>
      </c>
      <c r="G22" s="119">
        <v>46299</v>
      </c>
      <c r="H22" s="7" t="s">
        <v>993</v>
      </c>
      <c r="I22" s="7" t="s">
        <v>219</v>
      </c>
      <c r="J22" s="7" t="s">
        <v>136</v>
      </c>
      <c r="K22" s="7" t="s">
        <v>50</v>
      </c>
      <c r="L22" s="7" t="s">
        <v>50</v>
      </c>
      <c r="M22" s="7"/>
      <c r="N22" s="7" t="s">
        <v>994</v>
      </c>
      <c r="O22" s="7" t="s">
        <v>995</v>
      </c>
      <c r="P22" s="7" t="s">
        <v>523</v>
      </c>
      <c r="Q22" s="7" t="s">
        <v>996</v>
      </c>
      <c r="R22" s="7" t="s">
        <v>997</v>
      </c>
      <c r="S22" s="7" t="s">
        <v>783</v>
      </c>
      <c r="T22" s="7" t="s">
        <v>174</v>
      </c>
      <c r="U22" s="7" t="s">
        <v>837</v>
      </c>
      <c r="V22" s="7" t="s">
        <v>998</v>
      </c>
      <c r="W22" s="24">
        <v>31</v>
      </c>
      <c r="X22" s="25"/>
      <c r="Y22" s="7">
        <f t="shared" si="0"/>
        <v>31</v>
      </c>
      <c r="Z22" s="7">
        <f>22000</f>
        <v>22000</v>
      </c>
      <c r="AA22" s="7">
        <v>0</v>
      </c>
      <c r="AB22" s="7">
        <v>4500</v>
      </c>
      <c r="AC22" s="7">
        <v>0</v>
      </c>
      <c r="AD22" s="7">
        <v>3500</v>
      </c>
      <c r="AE22" s="8">
        <f t="shared" si="4"/>
        <v>30000</v>
      </c>
      <c r="AF22" s="8">
        <f t="shared" si="5"/>
        <v>30000</v>
      </c>
      <c r="AG22" s="7"/>
      <c r="AH22" s="7"/>
      <c r="AI22" s="7">
        <v>0</v>
      </c>
      <c r="AJ22" s="7">
        <v>0</v>
      </c>
      <c r="AK22" s="10">
        <v>0</v>
      </c>
      <c r="AL22" s="8">
        <f t="shared" si="8"/>
        <v>30000</v>
      </c>
    </row>
    <row r="23" spans="1:39" ht="14.25" customHeight="1">
      <c r="A23" s="24" t="s">
        <v>293</v>
      </c>
      <c r="B23" s="7" t="s">
        <v>775</v>
      </c>
      <c r="C23" s="25" t="s">
        <v>828</v>
      </c>
      <c r="D23" s="7" t="s">
        <v>465</v>
      </c>
      <c r="E23" s="7" t="s">
        <v>45</v>
      </c>
      <c r="F23" s="7" t="s">
        <v>999</v>
      </c>
      <c r="G23" s="7"/>
      <c r="H23" s="7" t="s">
        <v>1000</v>
      </c>
      <c r="I23" s="7" t="s">
        <v>219</v>
      </c>
      <c r="J23" s="7" t="s">
        <v>136</v>
      </c>
      <c r="K23" s="7" t="s">
        <v>50</v>
      </c>
      <c r="L23" s="7" t="s">
        <v>50</v>
      </c>
      <c r="M23" s="7"/>
      <c r="N23" s="7" t="s">
        <v>1001</v>
      </c>
      <c r="O23" s="7" t="s">
        <v>1002</v>
      </c>
      <c r="P23" s="7" t="s">
        <v>232</v>
      </c>
      <c r="Q23" s="31">
        <v>99990027081982</v>
      </c>
      <c r="R23" s="7" t="s">
        <v>1003</v>
      </c>
      <c r="S23" s="7" t="s">
        <v>828</v>
      </c>
      <c r="T23" s="7" t="s">
        <v>174</v>
      </c>
      <c r="U23" s="7" t="s">
        <v>832</v>
      </c>
      <c r="V23" s="7" t="s">
        <v>1004</v>
      </c>
      <c r="W23" s="24">
        <v>31</v>
      </c>
      <c r="X23" s="25"/>
      <c r="Y23" s="7">
        <f t="shared" si="0"/>
        <v>31</v>
      </c>
      <c r="Z23" s="7">
        <v>23100</v>
      </c>
      <c r="AA23" s="7">
        <v>0</v>
      </c>
      <c r="AB23" s="7">
        <v>10780</v>
      </c>
      <c r="AC23" s="7">
        <v>0</v>
      </c>
      <c r="AD23" s="7">
        <v>0</v>
      </c>
      <c r="AE23" s="8">
        <f t="shared" si="4"/>
        <v>33880</v>
      </c>
      <c r="AF23" s="8">
        <f t="shared" si="5"/>
        <v>33880</v>
      </c>
      <c r="AG23" s="24">
        <v>0</v>
      </c>
      <c r="AH23" s="7"/>
      <c r="AI23" s="7">
        <v>0</v>
      </c>
      <c r="AJ23" s="7">
        <v>0</v>
      </c>
      <c r="AK23" s="10">
        <v>0</v>
      </c>
      <c r="AL23" s="8">
        <f>AF23-SUM(AH23:AK23)+AG23</f>
        <v>33880</v>
      </c>
    </row>
    <row r="24" spans="1:39" ht="14.25" customHeight="1"/>
    <row r="25" spans="1:39" ht="14.25" customHeight="1"/>
    <row r="26" spans="1:39" ht="14.25" customHeight="1"/>
    <row r="27" spans="1:39" ht="14.25" customHeight="1"/>
    <row r="28" spans="1:39" ht="14.25" customHeight="1"/>
    <row r="29" spans="1:39" ht="14.25" customHeight="1"/>
    <row r="30" spans="1:39" ht="14.25" customHeight="1"/>
    <row r="31" spans="1:39" ht="14.25" customHeight="1"/>
    <row r="32" spans="1:39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1:A1000"/>
  <sheetViews>
    <sheetView workbookViewId="0"/>
  </sheetViews>
  <sheetFormatPr defaultColWidth="14.42578125" defaultRowHeight="15" customHeight="1"/>
  <cols>
    <col min="1" max="26" width="8.7109375" customWidth="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E1000"/>
  <sheetViews>
    <sheetView workbookViewId="0"/>
  </sheetViews>
  <sheetFormatPr defaultColWidth="14.42578125" defaultRowHeight="15" customHeight="1"/>
  <cols>
    <col min="1" max="4" width="14.42578125" customWidth="1"/>
    <col min="5" max="5" width="16.7109375" customWidth="1"/>
    <col min="6" max="6" width="14.42578125" customWidth="1"/>
  </cols>
  <sheetData>
    <row r="1" spans="1:5" ht="15" customHeight="1">
      <c r="A1" s="120" t="s">
        <v>1005</v>
      </c>
      <c r="B1" s="121" t="s">
        <v>1006</v>
      </c>
      <c r="C1" s="121" t="s">
        <v>1007</v>
      </c>
      <c r="D1" s="121" t="s">
        <v>1008</v>
      </c>
      <c r="E1" s="121" t="s">
        <v>1009</v>
      </c>
    </row>
    <row r="2" spans="1:5" ht="15" customHeight="1">
      <c r="A2" s="122">
        <v>46143</v>
      </c>
      <c r="B2" s="123" t="s">
        <v>1010</v>
      </c>
      <c r="C2" s="123" t="s">
        <v>1010</v>
      </c>
      <c r="D2" s="123" t="s">
        <v>1010</v>
      </c>
      <c r="E2" s="123" t="s">
        <v>1010</v>
      </c>
    </row>
    <row r="3" spans="1:5" ht="15" customHeight="1">
      <c r="A3" s="122">
        <v>46144</v>
      </c>
      <c r="B3" s="123" t="s">
        <v>1010</v>
      </c>
      <c r="C3" s="123" t="s">
        <v>1010</v>
      </c>
      <c r="D3" s="123" t="s">
        <v>1010</v>
      </c>
      <c r="E3" s="123" t="s">
        <v>1010</v>
      </c>
    </row>
    <row r="4" spans="1:5" ht="15" customHeight="1">
      <c r="A4" s="122">
        <v>46145</v>
      </c>
      <c r="B4" s="181" t="s">
        <v>1011</v>
      </c>
      <c r="C4" s="182"/>
      <c r="D4" s="182"/>
      <c r="E4" s="183"/>
    </row>
    <row r="5" spans="1:5" ht="15" customHeight="1">
      <c r="A5" s="122">
        <v>46146</v>
      </c>
      <c r="B5" s="123" t="s">
        <v>1010</v>
      </c>
      <c r="C5" s="123" t="s">
        <v>1010</v>
      </c>
      <c r="D5" s="123" t="s">
        <v>1010</v>
      </c>
      <c r="E5" s="123" t="s">
        <v>1010</v>
      </c>
    </row>
    <row r="6" spans="1:5" ht="15" customHeight="1">
      <c r="A6" s="122">
        <v>46147</v>
      </c>
      <c r="B6" s="123" t="s">
        <v>1010</v>
      </c>
      <c r="C6" s="123" t="s">
        <v>1010</v>
      </c>
      <c r="D6" s="123" t="s">
        <v>1010</v>
      </c>
      <c r="E6" s="123" t="s">
        <v>1010</v>
      </c>
    </row>
    <row r="7" spans="1:5" ht="15" customHeight="1">
      <c r="A7" s="122">
        <v>46148</v>
      </c>
      <c r="B7" s="123" t="s">
        <v>1010</v>
      </c>
      <c r="C7" s="123" t="s">
        <v>1010</v>
      </c>
      <c r="D7" s="123" t="s">
        <v>1010</v>
      </c>
      <c r="E7" s="123" t="s">
        <v>1010</v>
      </c>
    </row>
    <row r="8" spans="1:5" ht="15" customHeight="1">
      <c r="A8" s="122">
        <v>46149</v>
      </c>
      <c r="B8" s="123" t="s">
        <v>1010</v>
      </c>
      <c r="C8" s="123" t="s">
        <v>1010</v>
      </c>
      <c r="D8" s="123" t="s">
        <v>1010</v>
      </c>
      <c r="E8" s="123" t="s">
        <v>1010</v>
      </c>
    </row>
    <row r="9" spans="1:5" ht="15" customHeight="1">
      <c r="A9" s="122">
        <v>46150</v>
      </c>
      <c r="B9" s="123" t="s">
        <v>1010</v>
      </c>
      <c r="C9" s="123" t="s">
        <v>1010</v>
      </c>
      <c r="D9" s="123" t="s">
        <v>1010</v>
      </c>
      <c r="E9" s="123" t="s">
        <v>1010</v>
      </c>
    </row>
    <row r="10" spans="1:5" ht="15" customHeight="1">
      <c r="A10" s="122">
        <v>46151</v>
      </c>
      <c r="B10" s="123" t="s">
        <v>1010</v>
      </c>
      <c r="C10" s="123" t="s">
        <v>1010</v>
      </c>
      <c r="D10" s="123" t="s">
        <v>1010</v>
      </c>
      <c r="E10" s="123" t="s">
        <v>1010</v>
      </c>
    </row>
    <row r="11" spans="1:5" ht="15" customHeight="1">
      <c r="A11" s="122">
        <v>46152</v>
      </c>
      <c r="B11" s="181" t="s">
        <v>1011</v>
      </c>
      <c r="C11" s="182"/>
      <c r="D11" s="182"/>
      <c r="E11" s="183"/>
    </row>
    <row r="12" spans="1:5" ht="15" customHeight="1">
      <c r="A12" s="122">
        <v>46153</v>
      </c>
      <c r="B12" s="123" t="s">
        <v>1010</v>
      </c>
      <c r="C12" s="123" t="s">
        <v>1010</v>
      </c>
      <c r="D12" s="123" t="s">
        <v>1010</v>
      </c>
      <c r="E12" s="123" t="s">
        <v>1010</v>
      </c>
    </row>
    <row r="13" spans="1:5" ht="15" customHeight="1">
      <c r="A13" s="122">
        <v>46154</v>
      </c>
      <c r="B13" s="123" t="s">
        <v>1010</v>
      </c>
      <c r="C13" s="123" t="s">
        <v>1010</v>
      </c>
      <c r="D13" s="123" t="s">
        <v>1010</v>
      </c>
      <c r="E13" s="124" t="s">
        <v>1012</v>
      </c>
    </row>
    <row r="14" spans="1:5" ht="15" customHeight="1">
      <c r="A14" s="122">
        <v>46155</v>
      </c>
      <c r="B14" s="123" t="s">
        <v>1010</v>
      </c>
      <c r="C14" s="123" t="s">
        <v>1010</v>
      </c>
      <c r="D14" s="123" t="s">
        <v>1010</v>
      </c>
      <c r="E14" s="123" t="s">
        <v>1010</v>
      </c>
    </row>
    <row r="15" spans="1:5" ht="15" customHeight="1">
      <c r="A15" s="122">
        <v>46156</v>
      </c>
      <c r="B15" s="123" t="s">
        <v>1010</v>
      </c>
      <c r="C15" s="123" t="s">
        <v>1010</v>
      </c>
      <c r="D15" s="123" t="s">
        <v>1010</v>
      </c>
      <c r="E15" s="123" t="s">
        <v>1010</v>
      </c>
    </row>
    <row r="16" spans="1:5" ht="15" customHeight="1">
      <c r="A16" s="122">
        <v>46157</v>
      </c>
      <c r="B16" s="123" t="s">
        <v>1010</v>
      </c>
      <c r="C16" s="123" t="s">
        <v>1010</v>
      </c>
      <c r="D16" s="123" t="s">
        <v>1010</v>
      </c>
      <c r="E16" s="123" t="s">
        <v>1010</v>
      </c>
    </row>
    <row r="17" spans="1:5" ht="15" customHeight="1">
      <c r="A17" s="122">
        <v>46158</v>
      </c>
      <c r="B17" s="123" t="s">
        <v>1010</v>
      </c>
      <c r="C17" s="123" t="s">
        <v>1010</v>
      </c>
      <c r="D17" s="123" t="s">
        <v>1010</v>
      </c>
      <c r="E17" s="123" t="s">
        <v>1010</v>
      </c>
    </row>
    <row r="18" spans="1:5" ht="15" customHeight="1">
      <c r="A18" s="122">
        <v>46159</v>
      </c>
      <c r="B18" s="181" t="s">
        <v>1011</v>
      </c>
      <c r="C18" s="182"/>
      <c r="D18" s="182"/>
      <c r="E18" s="183"/>
    </row>
    <row r="19" spans="1:5" ht="15" customHeight="1">
      <c r="A19" s="122">
        <v>46160</v>
      </c>
      <c r="B19" s="123" t="s">
        <v>1010</v>
      </c>
      <c r="C19" s="123" t="s">
        <v>1010</v>
      </c>
      <c r="D19" s="123" t="s">
        <v>1010</v>
      </c>
      <c r="E19" s="123" t="s">
        <v>1010</v>
      </c>
    </row>
    <row r="20" spans="1:5" ht="15" customHeight="1">
      <c r="A20" s="122">
        <v>46161</v>
      </c>
      <c r="B20" s="123" t="s">
        <v>1010</v>
      </c>
      <c r="C20" s="123" t="s">
        <v>1010</v>
      </c>
      <c r="D20" s="123" t="s">
        <v>1010</v>
      </c>
      <c r="E20" s="123" t="s">
        <v>1010</v>
      </c>
    </row>
    <row r="21" spans="1:5" ht="15" customHeight="1">
      <c r="A21" s="122">
        <v>46162</v>
      </c>
      <c r="B21" s="123" t="s">
        <v>1010</v>
      </c>
      <c r="C21" s="123" t="s">
        <v>1010</v>
      </c>
      <c r="D21" s="123" t="s">
        <v>1010</v>
      </c>
      <c r="E21" s="123" t="s">
        <v>1010</v>
      </c>
    </row>
    <row r="22" spans="1:5" ht="15" customHeight="1">
      <c r="A22" s="122">
        <v>46163</v>
      </c>
      <c r="B22" s="123" t="s">
        <v>1010</v>
      </c>
      <c r="C22" s="123" t="s">
        <v>1010</v>
      </c>
      <c r="D22" s="123" t="s">
        <v>1010</v>
      </c>
      <c r="E22" s="123" t="s">
        <v>1010</v>
      </c>
    </row>
    <row r="23" spans="1:5" ht="15" customHeight="1">
      <c r="A23" s="122">
        <v>46164</v>
      </c>
      <c r="B23" s="123" t="s">
        <v>1010</v>
      </c>
      <c r="C23" s="123" t="s">
        <v>1010</v>
      </c>
      <c r="D23" s="123" t="s">
        <v>1010</v>
      </c>
      <c r="E23" s="123" t="s">
        <v>1010</v>
      </c>
    </row>
    <row r="24" spans="1:5" ht="15" customHeight="1">
      <c r="A24" s="122">
        <v>46165</v>
      </c>
      <c r="B24" s="123" t="s">
        <v>1010</v>
      </c>
      <c r="C24" s="123" t="s">
        <v>1010</v>
      </c>
      <c r="D24" s="123" t="s">
        <v>1010</v>
      </c>
      <c r="E24" s="123" t="s">
        <v>1010</v>
      </c>
    </row>
    <row r="25" spans="1:5" ht="15" customHeight="1">
      <c r="A25" s="122">
        <v>46166</v>
      </c>
      <c r="B25" s="181" t="s">
        <v>1011</v>
      </c>
      <c r="C25" s="182"/>
      <c r="D25" s="182"/>
      <c r="E25" s="183"/>
    </row>
    <row r="26" spans="1:5" ht="15" customHeight="1">
      <c r="A26" s="122">
        <v>46167</v>
      </c>
      <c r="B26" s="123" t="s">
        <v>1010</v>
      </c>
      <c r="C26" s="123" t="s">
        <v>1010</v>
      </c>
      <c r="D26" s="123" t="s">
        <v>1010</v>
      </c>
      <c r="E26" s="123" t="s">
        <v>1010</v>
      </c>
    </row>
    <row r="27" spans="1:5" ht="15" customHeight="1">
      <c r="A27" s="122">
        <v>46168</v>
      </c>
      <c r="B27" s="123" t="s">
        <v>1010</v>
      </c>
      <c r="C27" s="123" t="s">
        <v>1010</v>
      </c>
      <c r="D27" s="123" t="s">
        <v>1010</v>
      </c>
      <c r="E27" s="123" t="s">
        <v>1010</v>
      </c>
    </row>
    <row r="28" spans="1:5" ht="15" customHeight="1">
      <c r="A28" s="122">
        <v>46169</v>
      </c>
      <c r="B28" s="123" t="s">
        <v>1010</v>
      </c>
      <c r="C28" s="123" t="s">
        <v>1010</v>
      </c>
      <c r="D28" s="123" t="s">
        <v>1010</v>
      </c>
      <c r="E28" s="123" t="s">
        <v>1010</v>
      </c>
    </row>
    <row r="29" spans="1:5" ht="15" customHeight="1">
      <c r="A29" s="122">
        <v>46170</v>
      </c>
      <c r="B29" s="125" t="s">
        <v>1010</v>
      </c>
      <c r="C29" s="124" t="s">
        <v>1013</v>
      </c>
      <c r="D29" s="124" t="s">
        <v>1013</v>
      </c>
      <c r="E29" s="123" t="s">
        <v>1010</v>
      </c>
    </row>
    <row r="30" spans="1:5" ht="15" customHeight="1">
      <c r="A30" s="122">
        <v>46171</v>
      </c>
      <c r="B30" s="123" t="s">
        <v>1010</v>
      </c>
      <c r="C30" s="123" t="s">
        <v>1010</v>
      </c>
      <c r="D30" s="123" t="s">
        <v>1010</v>
      </c>
      <c r="E30" s="123" t="s">
        <v>1010</v>
      </c>
    </row>
    <row r="31" spans="1:5" ht="15" customHeight="1">
      <c r="A31" s="122">
        <v>46172</v>
      </c>
      <c r="B31" s="123" t="s">
        <v>1010</v>
      </c>
      <c r="C31" s="123" t="s">
        <v>1010</v>
      </c>
      <c r="D31" s="123" t="s">
        <v>1010</v>
      </c>
      <c r="E31" s="123" t="s">
        <v>1010</v>
      </c>
    </row>
    <row r="32" spans="1:5" ht="15" customHeight="1">
      <c r="A32" s="122">
        <v>46173</v>
      </c>
      <c r="B32" s="181" t="s">
        <v>1011</v>
      </c>
      <c r="C32" s="182"/>
      <c r="D32" s="182"/>
      <c r="E32" s="18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B4:E4"/>
    <mergeCell ref="B11:E11"/>
    <mergeCell ref="B18:E18"/>
    <mergeCell ref="B25:E25"/>
    <mergeCell ref="B32:E32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2:L1003"/>
  <sheetViews>
    <sheetView workbookViewId="0"/>
  </sheetViews>
  <sheetFormatPr defaultColWidth="14.42578125" defaultRowHeight="15" customHeight="1"/>
  <cols>
    <col min="1" max="1" width="10.5703125" customWidth="1"/>
    <col min="2" max="2" width="28.140625" customWidth="1"/>
    <col min="3" max="3" width="24.85546875" customWidth="1"/>
    <col min="4" max="4" width="15.28515625" customWidth="1"/>
    <col min="5" max="5" width="14.42578125" customWidth="1"/>
    <col min="6" max="6" width="21" customWidth="1"/>
    <col min="11" max="11" width="33.5703125" customWidth="1"/>
  </cols>
  <sheetData>
    <row r="2" spans="1:10">
      <c r="A2" s="1"/>
      <c r="B2" s="1"/>
      <c r="C2" s="126" t="s">
        <v>1014</v>
      </c>
      <c r="D2" s="126" t="s">
        <v>43</v>
      </c>
      <c r="E2" s="126" t="s">
        <v>60</v>
      </c>
      <c r="F2" s="126" t="s">
        <v>418</v>
      </c>
      <c r="G2" s="126" t="s">
        <v>120</v>
      </c>
    </row>
    <row r="3" spans="1:10">
      <c r="C3" s="44" t="s">
        <v>1015</v>
      </c>
      <c r="D3" s="127">
        <v>300000</v>
      </c>
      <c r="E3" s="127">
        <v>191241</v>
      </c>
      <c r="F3" s="128">
        <f t="shared" ref="F3:F14" si="0">H31</f>
        <v>168162</v>
      </c>
      <c r="G3" s="127">
        <v>103800</v>
      </c>
      <c r="J3" s="13"/>
    </row>
    <row r="4" spans="1:10">
      <c r="C4" s="44" t="s">
        <v>1016</v>
      </c>
      <c r="D4" s="127">
        <v>300000</v>
      </c>
      <c r="E4" s="127">
        <v>191241</v>
      </c>
      <c r="F4" s="128">
        <f t="shared" si="0"/>
        <v>102018</v>
      </c>
      <c r="G4" s="127">
        <v>103800</v>
      </c>
    </row>
    <row r="5" spans="1:10">
      <c r="C5" s="44" t="s">
        <v>1017</v>
      </c>
      <c r="D5" s="127">
        <v>300000</v>
      </c>
      <c r="E5" s="127">
        <v>191241</v>
      </c>
      <c r="F5" s="128">
        <f t="shared" si="0"/>
        <v>108333</v>
      </c>
      <c r="G5" s="127">
        <v>103800</v>
      </c>
    </row>
    <row r="6" spans="1:10">
      <c r="C6" s="44" t="s">
        <v>1018</v>
      </c>
      <c r="D6" s="127">
        <v>300000</v>
      </c>
      <c r="E6" s="127">
        <v>191241</v>
      </c>
      <c r="F6" s="128">
        <f t="shared" si="0"/>
        <v>108333</v>
      </c>
      <c r="G6" s="127">
        <v>103800</v>
      </c>
    </row>
    <row r="7" spans="1:10">
      <c r="C7" s="44" t="s">
        <v>41</v>
      </c>
      <c r="D7" s="127">
        <v>300000</v>
      </c>
      <c r="E7" s="127">
        <v>191241</v>
      </c>
      <c r="F7" s="128">
        <f t="shared" si="0"/>
        <v>108333</v>
      </c>
      <c r="G7" s="127">
        <v>103800</v>
      </c>
      <c r="H7" s="1"/>
    </row>
    <row r="8" spans="1:10">
      <c r="C8" s="44" t="s">
        <v>1019</v>
      </c>
      <c r="D8" s="127">
        <v>300000</v>
      </c>
      <c r="E8" s="127">
        <v>191241</v>
      </c>
      <c r="F8" s="128">
        <f t="shared" si="0"/>
        <v>108333</v>
      </c>
      <c r="G8" s="127">
        <v>103800</v>
      </c>
    </row>
    <row r="9" spans="1:10">
      <c r="C9" s="44" t="s">
        <v>1020</v>
      </c>
      <c r="D9" s="127">
        <v>300000</v>
      </c>
      <c r="E9" s="127">
        <v>191241</v>
      </c>
      <c r="F9" s="128">
        <f t="shared" si="0"/>
        <v>108333</v>
      </c>
      <c r="G9" s="127">
        <v>103800</v>
      </c>
    </row>
    <row r="10" spans="1:10">
      <c r="C10" s="44" t="s">
        <v>1021</v>
      </c>
      <c r="D10" s="127">
        <v>300000</v>
      </c>
      <c r="E10" s="127">
        <v>191241</v>
      </c>
      <c r="F10" s="128">
        <f t="shared" si="0"/>
        <v>108333</v>
      </c>
      <c r="G10" s="127">
        <v>103800</v>
      </c>
    </row>
    <row r="11" spans="1:10">
      <c r="C11" s="44" t="s">
        <v>1022</v>
      </c>
      <c r="D11" s="127">
        <v>300000</v>
      </c>
      <c r="E11" s="127">
        <v>191241</v>
      </c>
      <c r="F11" s="128">
        <f t="shared" si="0"/>
        <v>108333</v>
      </c>
      <c r="G11" s="127">
        <v>103800</v>
      </c>
    </row>
    <row r="12" spans="1:10">
      <c r="A12" s="1"/>
      <c r="B12" s="1"/>
      <c r="C12" s="44" t="s">
        <v>1023</v>
      </c>
      <c r="D12" s="127">
        <v>300000</v>
      </c>
      <c r="E12" s="127">
        <v>191241</v>
      </c>
      <c r="F12" s="128">
        <f t="shared" si="0"/>
        <v>108333</v>
      </c>
      <c r="G12" s="127">
        <v>103800</v>
      </c>
    </row>
    <row r="13" spans="1:10">
      <c r="C13" s="44" t="s">
        <v>1024</v>
      </c>
      <c r="D13" s="127">
        <v>300000</v>
      </c>
      <c r="E13" s="127">
        <v>191241</v>
      </c>
      <c r="F13" s="128">
        <f t="shared" si="0"/>
        <v>108333</v>
      </c>
      <c r="G13" s="127">
        <v>103800</v>
      </c>
    </row>
    <row r="14" spans="1:10">
      <c r="C14" s="44" t="s">
        <v>1025</v>
      </c>
      <c r="D14" s="127">
        <v>300000</v>
      </c>
      <c r="E14" s="127">
        <v>191241</v>
      </c>
      <c r="F14" s="128">
        <f t="shared" si="0"/>
        <v>108333</v>
      </c>
      <c r="G14" s="127">
        <v>103800</v>
      </c>
    </row>
    <row r="15" spans="1:10">
      <c r="B15" s="1"/>
      <c r="C15" s="44"/>
      <c r="D15" s="127"/>
      <c r="E15" s="127"/>
      <c r="G15" s="127"/>
    </row>
    <row r="16" spans="1:10">
      <c r="C16" s="44" t="s">
        <v>33</v>
      </c>
      <c r="D16" s="127">
        <f t="shared" ref="D16:G16" si="1">SUM(D3:D14)</f>
        <v>3600000</v>
      </c>
      <c r="E16" s="127">
        <f t="shared" si="1"/>
        <v>2294892</v>
      </c>
      <c r="F16" s="127">
        <f t="shared" si="1"/>
        <v>1353510</v>
      </c>
      <c r="G16" s="127">
        <f t="shared" si="1"/>
        <v>1245600</v>
      </c>
    </row>
    <row r="17" spans="2:8">
      <c r="C17" s="44" t="s">
        <v>1026</v>
      </c>
      <c r="D17" s="127">
        <v>75000</v>
      </c>
      <c r="E17" s="127">
        <v>75000</v>
      </c>
      <c r="F17" s="127">
        <v>75000</v>
      </c>
      <c r="G17" s="127">
        <v>75000</v>
      </c>
    </row>
    <row r="18" spans="2:8">
      <c r="D18" s="127"/>
      <c r="E18" s="127"/>
      <c r="G18" s="127"/>
    </row>
    <row r="19" spans="2:8">
      <c r="C19" s="13" t="s">
        <v>1027</v>
      </c>
      <c r="D19" s="127">
        <f t="shared" ref="D19:G19" si="2">D16-D17</f>
        <v>3525000</v>
      </c>
      <c r="E19" s="127">
        <f t="shared" si="2"/>
        <v>2219892</v>
      </c>
      <c r="F19" s="127">
        <f t="shared" si="2"/>
        <v>1278510</v>
      </c>
      <c r="G19" s="127">
        <f t="shared" si="2"/>
        <v>1170600</v>
      </c>
    </row>
    <row r="20" spans="2:8">
      <c r="C20" s="13" t="s">
        <v>1028</v>
      </c>
      <c r="D20" s="127"/>
      <c r="E20" s="127"/>
      <c r="G20" s="127"/>
    </row>
    <row r="21" spans="2:8" ht="15.75" customHeight="1">
      <c r="B21" s="1"/>
      <c r="C21" s="1" t="s">
        <v>1029</v>
      </c>
      <c r="D21" s="127">
        <v>663000</v>
      </c>
      <c r="E21" s="13">
        <v>256168</v>
      </c>
      <c r="F21" s="13">
        <v>66298</v>
      </c>
      <c r="G21" s="127">
        <v>0</v>
      </c>
    </row>
    <row r="22" spans="2:8" ht="15.75" customHeight="1">
      <c r="C22" s="13" t="s">
        <v>1030</v>
      </c>
      <c r="D22" s="127">
        <f t="shared" ref="D22:G22" si="3">D21*0.03</f>
        <v>19890</v>
      </c>
      <c r="E22" s="127">
        <f t="shared" si="3"/>
        <v>7685.04</v>
      </c>
      <c r="F22" s="127">
        <f t="shared" si="3"/>
        <v>1988.9399999999998</v>
      </c>
      <c r="G22" s="127">
        <f t="shared" si="3"/>
        <v>0</v>
      </c>
    </row>
    <row r="23" spans="2:8" ht="15.75" customHeight="1">
      <c r="D23" s="127"/>
      <c r="E23" s="127"/>
      <c r="G23" s="127"/>
    </row>
    <row r="24" spans="2:8" ht="15.75" customHeight="1">
      <c r="C24" s="13" t="s">
        <v>1031</v>
      </c>
      <c r="D24" s="127">
        <f t="shared" ref="D24:G24" si="4">SUM(D21:D23)</f>
        <v>682890</v>
      </c>
      <c r="E24" s="127">
        <f t="shared" si="4"/>
        <v>263853.03999999998</v>
      </c>
      <c r="F24" s="127">
        <f t="shared" si="4"/>
        <v>68286.94</v>
      </c>
      <c r="G24" s="127">
        <f t="shared" si="4"/>
        <v>0</v>
      </c>
    </row>
    <row r="25" spans="2:8" ht="15.75" customHeight="1">
      <c r="C25" s="126" t="s">
        <v>36</v>
      </c>
      <c r="D25" s="126">
        <f t="shared" ref="D25:G25" si="5">D24/12</f>
        <v>56907.5</v>
      </c>
      <c r="E25" s="129">
        <f t="shared" si="5"/>
        <v>21987.75333333333</v>
      </c>
      <c r="F25" s="129">
        <f t="shared" si="5"/>
        <v>5690.5783333333338</v>
      </c>
      <c r="G25" s="126">
        <f t="shared" si="5"/>
        <v>0</v>
      </c>
    </row>
    <row r="26" spans="2:8" ht="15.75" customHeight="1"/>
    <row r="27" spans="2:8" ht="15.75" customHeight="1">
      <c r="B27" s="1"/>
      <c r="C27" s="1"/>
    </row>
    <row r="28" spans="2:8" ht="15.75" customHeight="1"/>
    <row r="29" spans="2:8" ht="15.75" customHeight="1"/>
    <row r="30" spans="2:8" ht="15.75" customHeight="1">
      <c r="C30" s="130" t="s">
        <v>1014</v>
      </c>
      <c r="D30" s="131" t="s">
        <v>686</v>
      </c>
      <c r="E30" s="131" t="s">
        <v>1032</v>
      </c>
      <c r="F30" s="132" t="s">
        <v>33</v>
      </c>
      <c r="G30" s="132" t="s">
        <v>35</v>
      </c>
      <c r="H30" s="131" t="s">
        <v>839</v>
      </c>
    </row>
    <row r="31" spans="2:8" ht="15.75" customHeight="1">
      <c r="C31" s="133" t="s">
        <v>1015</v>
      </c>
      <c r="D31" s="134">
        <v>108333</v>
      </c>
      <c r="E31" s="135">
        <v>65520</v>
      </c>
      <c r="F31" s="136">
        <f t="shared" ref="F31:F42" si="6">D31+E31</f>
        <v>173853</v>
      </c>
      <c r="G31" s="135">
        <v>5691</v>
      </c>
      <c r="H31" s="134">
        <f t="shared" ref="H31:H43" si="7">F31-G31</f>
        <v>168162</v>
      </c>
    </row>
    <row r="32" spans="2:8" ht="15.75" customHeight="1">
      <c r="C32" s="133" t="s">
        <v>1016</v>
      </c>
      <c r="D32" s="134">
        <v>108333</v>
      </c>
      <c r="F32" s="136">
        <f t="shared" si="6"/>
        <v>108333</v>
      </c>
      <c r="G32" s="135">
        <v>6315</v>
      </c>
      <c r="H32" s="134">
        <f t="shared" si="7"/>
        <v>102018</v>
      </c>
    </row>
    <row r="33" spans="2:8" ht="15.75" customHeight="1">
      <c r="C33" s="133" t="s">
        <v>1017</v>
      </c>
      <c r="D33" s="134">
        <v>108333</v>
      </c>
      <c r="F33" s="136">
        <f t="shared" si="6"/>
        <v>108333</v>
      </c>
      <c r="H33" s="134">
        <f t="shared" si="7"/>
        <v>108333</v>
      </c>
    </row>
    <row r="34" spans="2:8" ht="15.75" customHeight="1">
      <c r="C34" s="133" t="s">
        <v>1018</v>
      </c>
      <c r="D34" s="134">
        <v>108333</v>
      </c>
      <c r="F34" s="136">
        <f t="shared" si="6"/>
        <v>108333</v>
      </c>
      <c r="H34" s="134">
        <f t="shared" si="7"/>
        <v>108333</v>
      </c>
    </row>
    <row r="35" spans="2:8" ht="15.75" customHeight="1">
      <c r="C35" s="133" t="s">
        <v>41</v>
      </c>
      <c r="D35" s="134">
        <v>108333</v>
      </c>
      <c r="F35" s="136">
        <f t="shared" si="6"/>
        <v>108333</v>
      </c>
      <c r="H35" s="134">
        <f t="shared" si="7"/>
        <v>108333</v>
      </c>
    </row>
    <row r="36" spans="2:8" ht="15.75" customHeight="1">
      <c r="C36" s="133" t="s">
        <v>1019</v>
      </c>
      <c r="D36" s="134">
        <v>108333</v>
      </c>
      <c r="F36" s="136">
        <f t="shared" si="6"/>
        <v>108333</v>
      </c>
      <c r="H36" s="134">
        <f t="shared" si="7"/>
        <v>108333</v>
      </c>
    </row>
    <row r="37" spans="2:8" ht="15.75" customHeight="1">
      <c r="B37" s="1"/>
      <c r="C37" s="133" t="s">
        <v>1020</v>
      </c>
      <c r="D37" s="134">
        <v>108333</v>
      </c>
      <c r="F37" s="136">
        <f t="shared" si="6"/>
        <v>108333</v>
      </c>
      <c r="H37" s="134">
        <f t="shared" si="7"/>
        <v>108333</v>
      </c>
    </row>
    <row r="38" spans="2:8" ht="15.75" customHeight="1">
      <c r="C38" s="133" t="s">
        <v>1021</v>
      </c>
      <c r="D38" s="134">
        <v>108333</v>
      </c>
      <c r="F38" s="136">
        <f t="shared" si="6"/>
        <v>108333</v>
      </c>
      <c r="H38" s="134">
        <f t="shared" si="7"/>
        <v>108333</v>
      </c>
    </row>
    <row r="39" spans="2:8" ht="15.75" customHeight="1">
      <c r="C39" s="133" t="s">
        <v>1022</v>
      </c>
      <c r="D39" s="134">
        <v>108333</v>
      </c>
      <c r="F39" s="136">
        <f t="shared" si="6"/>
        <v>108333</v>
      </c>
      <c r="H39" s="134">
        <f t="shared" si="7"/>
        <v>108333</v>
      </c>
    </row>
    <row r="40" spans="2:8" ht="15.75" customHeight="1">
      <c r="C40" s="133" t="s">
        <v>1023</v>
      </c>
      <c r="D40" s="134">
        <v>108333</v>
      </c>
      <c r="F40" s="136">
        <f t="shared" si="6"/>
        <v>108333</v>
      </c>
      <c r="H40" s="134">
        <f t="shared" si="7"/>
        <v>108333</v>
      </c>
    </row>
    <row r="41" spans="2:8" ht="15.75" customHeight="1">
      <c r="C41" s="133" t="s">
        <v>1024</v>
      </c>
      <c r="D41" s="134">
        <v>108333</v>
      </c>
      <c r="F41" s="136">
        <f t="shared" si="6"/>
        <v>108333</v>
      </c>
      <c r="H41" s="134">
        <f t="shared" si="7"/>
        <v>108333</v>
      </c>
    </row>
    <row r="42" spans="2:8" ht="15.75" customHeight="1">
      <c r="C42" s="133" t="s">
        <v>1025</v>
      </c>
      <c r="D42" s="134">
        <v>108333</v>
      </c>
      <c r="F42" s="136">
        <f t="shared" si="6"/>
        <v>108333</v>
      </c>
      <c r="H42" s="134">
        <f t="shared" si="7"/>
        <v>108333</v>
      </c>
    </row>
    <row r="43" spans="2:8" ht="15.75" customHeight="1">
      <c r="D43" s="137"/>
      <c r="F43" s="136"/>
      <c r="H43" s="134">
        <f t="shared" si="7"/>
        <v>0</v>
      </c>
    </row>
    <row r="44" spans="2:8" ht="15.75" customHeight="1">
      <c r="C44" s="138" t="s">
        <v>839</v>
      </c>
      <c r="D44" s="137"/>
      <c r="F44" s="139">
        <f>SUM(F31:F43)</f>
        <v>1365516</v>
      </c>
      <c r="H44" s="137"/>
    </row>
    <row r="45" spans="2:8" ht="15.75" customHeight="1">
      <c r="C45" s="138" t="s">
        <v>1033</v>
      </c>
      <c r="D45" s="137"/>
      <c r="F45" s="139">
        <v>75000</v>
      </c>
      <c r="H45" s="137"/>
    </row>
    <row r="46" spans="2:8" ht="15.75" customHeight="1">
      <c r="D46" s="137"/>
      <c r="F46" s="136"/>
      <c r="H46" s="137"/>
    </row>
    <row r="47" spans="2:8" ht="15.75" customHeight="1">
      <c r="C47" s="138" t="s">
        <v>1027</v>
      </c>
      <c r="D47" s="137"/>
      <c r="F47" s="139">
        <f>F44-F45</f>
        <v>1290516</v>
      </c>
      <c r="H47" s="137"/>
    </row>
    <row r="48" spans="2:8" ht="15.75" customHeight="1">
      <c r="C48" s="138" t="s">
        <v>1034</v>
      </c>
      <c r="D48" s="137"/>
      <c r="F48" s="140">
        <f>IF(F47&lt;=400000,0,
IF(F47&lt;=800000,(F47-400000)*5%,
IF(F47&lt;=1200000,(400000*5%)+(F47-800000)*10%,
IF(F47&lt;=1600000,(400000*5%)+(400000*10%)+(F47-1200000)*15%,
IF(F47&lt;=2000000,(400000*5%)+(400000*10%)+(400000*15%)+(E24-1600000)*20%,
IF(F47&lt;=2400000,(400000*5%)+(400000*10%)+(400000*15%)+(400000*20%)+(F47-2000000)*25%,
(400000*5%)+(400000*10%)+(400000*15%)+(400000*20%)+(400000*25%)+(F47-2400000)*30%))))))</f>
        <v>73577.399999999994</v>
      </c>
      <c r="H48" s="137"/>
    </row>
    <row r="49" spans="2:12" ht="15.75" customHeight="1">
      <c r="C49" s="141" t="s">
        <v>1030</v>
      </c>
      <c r="D49" s="134"/>
      <c r="E49" s="138"/>
      <c r="F49" s="139">
        <f>F48*0.03</f>
        <v>2207.3219999999997</v>
      </c>
      <c r="H49" s="137"/>
    </row>
    <row r="50" spans="2:12" ht="15.75" customHeight="1">
      <c r="C50" s="141" t="s">
        <v>1035</v>
      </c>
      <c r="D50" s="134"/>
      <c r="E50" s="138"/>
      <c r="F50" s="139">
        <f>F48+F49</f>
        <v>75784.721999999994</v>
      </c>
      <c r="H50" s="137"/>
    </row>
    <row r="51" spans="2:12" ht="15.75" customHeight="1">
      <c r="C51" s="138"/>
      <c r="D51" s="134"/>
      <c r="E51" s="138"/>
      <c r="F51" s="139"/>
      <c r="H51" s="137"/>
    </row>
    <row r="52" spans="2:12" ht="15.75" customHeight="1">
      <c r="C52" s="142" t="s">
        <v>1036</v>
      </c>
      <c r="D52" s="143"/>
      <c r="E52" s="142"/>
      <c r="F52" s="144">
        <f>F50/12</f>
        <v>6315.3934999999992</v>
      </c>
      <c r="H52" s="137"/>
    </row>
    <row r="53" spans="2:12" ht="15.75" customHeight="1"/>
    <row r="54" spans="2:12" ht="15.75" customHeight="1"/>
    <row r="55" spans="2:12" ht="15.75" customHeight="1"/>
    <row r="56" spans="2:12" ht="15.75" customHeight="1"/>
    <row r="57" spans="2:12" ht="15.75" customHeight="1"/>
    <row r="58" spans="2:12" ht="15.75" customHeight="1"/>
    <row r="59" spans="2:12" ht="15.75" customHeight="1">
      <c r="B59" s="1"/>
      <c r="C59" s="1"/>
      <c r="D59" s="1"/>
      <c r="E59" s="1"/>
      <c r="F59" s="1"/>
    </row>
    <row r="60" spans="2:12" ht="15.75" customHeight="1">
      <c r="K60" s="1"/>
      <c r="L60" s="1"/>
    </row>
    <row r="61" spans="2:12" ht="15.75" customHeight="1"/>
    <row r="62" spans="2:12" ht="15.75" customHeight="1"/>
    <row r="63" spans="2:12" ht="15.75" customHeight="1"/>
    <row r="64" spans="2:1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ataValidations count="1">
    <dataValidation type="custom" allowBlank="1" showDropDown="1" sqref="D31:D52 F31:F52 H31:H52" xr:uid="{00000000-0002-0000-0B00-000000000000}">
      <formula1>AND(ISNUMBER(D31),(NOT(OR(NOT(ISERROR(DATEVALUE(D31))), AND(ISNUMBER(D31), LEFT(CELL("format", D31))="D")))))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L1000"/>
  <sheetViews>
    <sheetView workbookViewId="0">
      <selection sqref="A1:AL1"/>
    </sheetView>
  </sheetViews>
  <sheetFormatPr defaultColWidth="14.42578125" defaultRowHeight="15" customHeight="1"/>
  <cols>
    <col min="1" max="2" width="14.42578125" customWidth="1"/>
    <col min="3" max="3" width="22.140625" customWidth="1"/>
    <col min="4" max="6" width="14.42578125" customWidth="1"/>
  </cols>
  <sheetData>
    <row r="1" spans="1:38" ht="15" customHeight="1">
      <c r="A1" s="184" t="s">
        <v>1037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  <c r="AA1" s="185"/>
      <c r="AB1" s="185"/>
      <c r="AC1" s="185"/>
      <c r="AD1" s="185"/>
      <c r="AE1" s="185"/>
      <c r="AF1" s="185"/>
      <c r="AG1" s="185"/>
      <c r="AH1" s="185"/>
      <c r="AI1" s="185"/>
      <c r="AJ1" s="185"/>
      <c r="AK1" s="185"/>
      <c r="AL1" s="185"/>
    </row>
    <row r="2" spans="1:38" ht="15" customHeight="1">
      <c r="A2" s="186" t="s">
        <v>1038</v>
      </c>
      <c r="B2" s="187"/>
      <c r="C2" s="187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  <c r="W2" s="187"/>
      <c r="X2" s="187"/>
      <c r="Y2" s="187"/>
      <c r="Z2" s="187"/>
      <c r="AA2" s="187"/>
      <c r="AB2" s="187"/>
      <c r="AC2" s="187"/>
      <c r="AD2" s="187"/>
      <c r="AE2" s="187"/>
      <c r="AF2" s="187"/>
      <c r="AG2" s="187"/>
      <c r="AH2" s="187"/>
      <c r="AI2" s="187"/>
      <c r="AJ2" s="187"/>
      <c r="AK2" s="187"/>
      <c r="AL2" s="187"/>
    </row>
    <row r="3" spans="1:38" ht="15" customHeight="1">
      <c r="A3" s="188" t="s">
        <v>1005</v>
      </c>
      <c r="B3" s="182"/>
      <c r="C3" s="183"/>
      <c r="D3" s="145">
        <v>1</v>
      </c>
      <c r="E3" s="145">
        <v>2</v>
      </c>
      <c r="F3" s="145">
        <v>3</v>
      </c>
      <c r="G3" s="145">
        <v>4</v>
      </c>
      <c r="H3" s="145">
        <v>5</v>
      </c>
      <c r="I3" s="145">
        <v>6</v>
      </c>
      <c r="J3" s="145">
        <v>7</v>
      </c>
      <c r="K3" s="145">
        <v>8</v>
      </c>
      <c r="L3" s="145">
        <v>9</v>
      </c>
      <c r="M3" s="145">
        <v>10</v>
      </c>
      <c r="N3" s="145">
        <v>11</v>
      </c>
      <c r="O3" s="145">
        <v>12</v>
      </c>
      <c r="P3" s="145">
        <v>13</v>
      </c>
      <c r="Q3" s="145">
        <v>14</v>
      </c>
      <c r="R3" s="145">
        <v>15</v>
      </c>
      <c r="S3" s="145">
        <v>16</v>
      </c>
      <c r="T3" s="145">
        <v>17</v>
      </c>
      <c r="U3" s="145">
        <v>18</v>
      </c>
      <c r="V3" s="145">
        <v>19</v>
      </c>
      <c r="W3" s="145">
        <v>20</v>
      </c>
      <c r="X3" s="145">
        <v>21</v>
      </c>
      <c r="Y3" s="145">
        <v>22</v>
      </c>
      <c r="Z3" s="145">
        <v>23</v>
      </c>
      <c r="AA3" s="145">
        <v>24</v>
      </c>
      <c r="AB3" s="145">
        <v>25</v>
      </c>
      <c r="AC3" s="145">
        <v>26</v>
      </c>
      <c r="AD3" s="145">
        <v>27</v>
      </c>
      <c r="AE3" s="145">
        <v>28</v>
      </c>
      <c r="AF3" s="145">
        <v>29</v>
      </c>
      <c r="AG3" s="145">
        <v>30</v>
      </c>
      <c r="AH3" s="146">
        <v>31</v>
      </c>
      <c r="AI3" s="147" t="s">
        <v>1039</v>
      </c>
      <c r="AJ3" s="148" t="s">
        <v>699</v>
      </c>
      <c r="AK3" s="149" t="s">
        <v>1040</v>
      </c>
      <c r="AL3" s="150" t="s">
        <v>704</v>
      </c>
    </row>
    <row r="4" spans="1:38" ht="15" customHeight="1">
      <c r="A4" s="151" t="s">
        <v>1041</v>
      </c>
      <c r="B4" s="152" t="s">
        <v>3</v>
      </c>
      <c r="C4" s="151" t="s">
        <v>4</v>
      </c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4">
        <f t="shared" ref="AI4:AI35" si="0">COUNTIF(D4:AH4,"P")</f>
        <v>0</v>
      </c>
      <c r="AJ4" s="148">
        <f t="shared" ref="AJ4:AJ35" si="1">COUNTIF(D4:AH4,"A")</f>
        <v>0</v>
      </c>
      <c r="AK4" s="149">
        <f t="shared" ref="AK4:AK35" si="2">COUNTIF(D4:AH4,"L")</f>
        <v>0</v>
      </c>
      <c r="AL4" s="155"/>
    </row>
    <row r="5" spans="1:38" ht="15" customHeight="1">
      <c r="A5" s="153">
        <v>6</v>
      </c>
      <c r="B5" s="153"/>
      <c r="C5" s="156" t="s">
        <v>1042</v>
      </c>
      <c r="D5" s="153" t="s">
        <v>1043</v>
      </c>
      <c r="E5" s="157" t="s">
        <v>1043</v>
      </c>
      <c r="F5" s="157" t="s">
        <v>1044</v>
      </c>
      <c r="G5" s="157" t="s">
        <v>1043</v>
      </c>
      <c r="H5" s="157" t="s">
        <v>1043</v>
      </c>
      <c r="I5" s="153" t="s">
        <v>1043</v>
      </c>
      <c r="J5" s="157" t="s">
        <v>1043</v>
      </c>
      <c r="K5" s="153" t="s">
        <v>1043</v>
      </c>
      <c r="L5" s="157" t="s">
        <v>1043</v>
      </c>
      <c r="M5" s="153" t="s">
        <v>1044</v>
      </c>
      <c r="N5" s="153" t="s">
        <v>1043</v>
      </c>
      <c r="O5" s="153" t="s">
        <v>706</v>
      </c>
      <c r="P5" s="153" t="s">
        <v>1043</v>
      </c>
      <c r="Q5" s="153" t="s">
        <v>1043</v>
      </c>
      <c r="R5" s="153" t="s">
        <v>1043</v>
      </c>
      <c r="S5" s="153" t="s">
        <v>1043</v>
      </c>
      <c r="T5" s="153" t="s">
        <v>1044</v>
      </c>
      <c r="U5" s="153" t="s">
        <v>1043</v>
      </c>
      <c r="V5" s="153" t="s">
        <v>1043</v>
      </c>
      <c r="W5" s="153" t="s">
        <v>1043</v>
      </c>
      <c r="X5" s="153" t="s">
        <v>1043</v>
      </c>
      <c r="Y5" s="153" t="s">
        <v>1043</v>
      </c>
      <c r="Z5" s="153" t="s">
        <v>1043</v>
      </c>
      <c r="AA5" s="153" t="s">
        <v>1044</v>
      </c>
      <c r="AB5" s="153" t="s">
        <v>1043</v>
      </c>
      <c r="AC5" s="153" t="s">
        <v>1043</v>
      </c>
      <c r="AD5" s="153" t="s">
        <v>1043</v>
      </c>
      <c r="AE5" s="153" t="s">
        <v>1043</v>
      </c>
      <c r="AF5" s="153" t="s">
        <v>1043</v>
      </c>
      <c r="AG5" s="153" t="s">
        <v>1043</v>
      </c>
      <c r="AH5" s="153" t="s">
        <v>1044</v>
      </c>
      <c r="AI5" s="154">
        <f t="shared" si="0"/>
        <v>25</v>
      </c>
      <c r="AJ5" s="148">
        <f t="shared" si="1"/>
        <v>0</v>
      </c>
      <c r="AK5" s="149">
        <f t="shared" si="2"/>
        <v>0</v>
      </c>
      <c r="AL5" s="158"/>
    </row>
    <row r="6" spans="1:38" ht="15" customHeight="1">
      <c r="A6" s="153">
        <v>7</v>
      </c>
      <c r="B6" s="153"/>
      <c r="C6" s="152"/>
      <c r="D6" s="153"/>
      <c r="E6" s="157"/>
      <c r="F6" s="157"/>
      <c r="G6" s="157"/>
      <c r="H6" s="157"/>
      <c r="I6" s="153"/>
      <c r="J6" s="157"/>
      <c r="K6" s="153"/>
      <c r="L6" s="157"/>
      <c r="M6" s="153"/>
      <c r="N6" s="153"/>
      <c r="O6" s="153"/>
      <c r="P6" s="153"/>
      <c r="Q6" s="153"/>
      <c r="R6" s="153"/>
      <c r="S6" s="153"/>
      <c r="T6" s="153"/>
      <c r="U6" s="153"/>
      <c r="V6" s="153"/>
      <c r="W6" s="153"/>
      <c r="X6" s="153"/>
      <c r="Y6" s="153"/>
      <c r="Z6" s="153"/>
      <c r="AA6" s="153"/>
      <c r="AB6" s="153"/>
      <c r="AC6" s="153"/>
      <c r="AD6" s="153"/>
      <c r="AE6" s="153"/>
      <c r="AF6" s="153"/>
      <c r="AG6" s="153"/>
      <c r="AH6" s="153"/>
      <c r="AI6" s="154">
        <f t="shared" si="0"/>
        <v>0</v>
      </c>
      <c r="AJ6" s="148">
        <f t="shared" si="1"/>
        <v>0</v>
      </c>
      <c r="AK6" s="149">
        <f t="shared" si="2"/>
        <v>0</v>
      </c>
      <c r="AL6" s="158"/>
    </row>
    <row r="7" spans="1:38" ht="15" customHeight="1">
      <c r="A7" s="153">
        <v>11</v>
      </c>
      <c r="B7" s="153"/>
      <c r="C7" s="153"/>
      <c r="D7" s="153"/>
      <c r="E7" s="153"/>
      <c r="F7" s="153"/>
      <c r="G7" s="153"/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  <c r="AA7" s="153"/>
      <c r="AB7" s="153"/>
      <c r="AC7" s="153"/>
      <c r="AD7" s="153"/>
      <c r="AE7" s="153"/>
      <c r="AF7" s="153"/>
      <c r="AG7" s="153"/>
      <c r="AH7" s="153"/>
      <c r="AI7" s="154">
        <f t="shared" si="0"/>
        <v>0</v>
      </c>
      <c r="AJ7" s="148">
        <f t="shared" si="1"/>
        <v>0</v>
      </c>
      <c r="AK7" s="149">
        <f t="shared" si="2"/>
        <v>0</v>
      </c>
      <c r="AL7" s="158"/>
    </row>
    <row r="8" spans="1:38" ht="15" customHeight="1">
      <c r="A8" s="153">
        <v>12</v>
      </c>
      <c r="B8" s="153"/>
      <c r="C8" s="152"/>
      <c r="D8" s="153"/>
      <c r="E8" s="153"/>
      <c r="F8" s="153"/>
      <c r="G8" s="153"/>
      <c r="H8" s="153"/>
      <c r="I8" s="153"/>
      <c r="J8" s="153"/>
      <c r="K8" s="153"/>
      <c r="L8" s="153"/>
      <c r="M8" s="153"/>
      <c r="N8" s="153"/>
      <c r="O8" s="153"/>
      <c r="P8" s="153"/>
      <c r="Q8" s="153"/>
      <c r="R8" s="153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53"/>
      <c r="AD8" s="153"/>
      <c r="AE8" s="153"/>
      <c r="AF8" s="153"/>
      <c r="AG8" s="153"/>
      <c r="AH8" s="153"/>
      <c r="AI8" s="154">
        <f t="shared" si="0"/>
        <v>0</v>
      </c>
      <c r="AJ8" s="148">
        <f t="shared" si="1"/>
        <v>0</v>
      </c>
      <c r="AK8" s="149">
        <f t="shared" si="2"/>
        <v>0</v>
      </c>
      <c r="AL8" s="158"/>
    </row>
    <row r="9" spans="1:38" ht="15" customHeight="1">
      <c r="A9" s="153">
        <v>13</v>
      </c>
      <c r="B9" s="153"/>
      <c r="C9" s="153"/>
      <c r="D9" s="153"/>
      <c r="E9" s="153"/>
      <c r="F9" s="153"/>
      <c r="G9" s="153"/>
      <c r="H9" s="153"/>
      <c r="I9" s="153"/>
      <c r="J9" s="153"/>
      <c r="K9" s="153"/>
      <c r="L9" s="153"/>
      <c r="M9" s="153"/>
      <c r="N9" s="153"/>
      <c r="O9" s="153"/>
      <c r="P9" s="153"/>
      <c r="Q9" s="153"/>
      <c r="R9" s="153"/>
      <c r="S9" s="153"/>
      <c r="T9" s="153"/>
      <c r="U9" s="153"/>
      <c r="V9" s="153"/>
      <c r="W9" s="153"/>
      <c r="X9" s="153"/>
      <c r="Y9" s="153"/>
      <c r="Z9" s="153"/>
      <c r="AA9" s="153"/>
      <c r="AB9" s="153"/>
      <c r="AC9" s="153"/>
      <c r="AD9" s="153"/>
      <c r="AE9" s="153"/>
      <c r="AF9" s="153"/>
      <c r="AG9" s="153"/>
      <c r="AH9" s="153"/>
      <c r="AI9" s="154">
        <f t="shared" si="0"/>
        <v>0</v>
      </c>
      <c r="AJ9" s="148">
        <f t="shared" si="1"/>
        <v>0</v>
      </c>
      <c r="AK9" s="149">
        <f t="shared" si="2"/>
        <v>0</v>
      </c>
      <c r="AL9" s="158"/>
    </row>
    <row r="10" spans="1:38" ht="15" customHeight="1">
      <c r="A10" s="153">
        <v>14</v>
      </c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4">
        <f t="shared" si="0"/>
        <v>0</v>
      </c>
      <c r="AJ10" s="148">
        <f t="shared" si="1"/>
        <v>0</v>
      </c>
      <c r="AK10" s="149">
        <f t="shared" si="2"/>
        <v>0</v>
      </c>
      <c r="AL10" s="158"/>
    </row>
    <row r="11" spans="1:38" ht="15" customHeight="1">
      <c r="A11" s="153">
        <v>15</v>
      </c>
      <c r="B11" s="153"/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  <c r="N11" s="153"/>
      <c r="O11" s="153"/>
      <c r="P11" s="153"/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4">
        <f t="shared" si="0"/>
        <v>0</v>
      </c>
      <c r="AJ11" s="148">
        <f t="shared" si="1"/>
        <v>0</v>
      </c>
      <c r="AK11" s="149">
        <f t="shared" si="2"/>
        <v>0</v>
      </c>
      <c r="AL11" s="158"/>
    </row>
    <row r="12" spans="1:38" ht="15" customHeight="1">
      <c r="A12" s="153">
        <v>16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  <c r="R12" s="153"/>
      <c r="S12" s="153"/>
      <c r="T12" s="153"/>
      <c r="U12" s="153"/>
      <c r="V12" s="153"/>
      <c r="W12" s="153"/>
      <c r="X12" s="153"/>
      <c r="Y12" s="153"/>
      <c r="Z12" s="153"/>
      <c r="AA12" s="153"/>
      <c r="AB12" s="153"/>
      <c r="AC12" s="153"/>
      <c r="AD12" s="153"/>
      <c r="AE12" s="153"/>
      <c r="AF12" s="153"/>
      <c r="AG12" s="153"/>
      <c r="AH12" s="153"/>
      <c r="AI12" s="154">
        <f t="shared" si="0"/>
        <v>0</v>
      </c>
      <c r="AJ12" s="148">
        <f t="shared" si="1"/>
        <v>0</v>
      </c>
      <c r="AK12" s="149">
        <f t="shared" si="2"/>
        <v>0</v>
      </c>
      <c r="AL12" s="158"/>
    </row>
    <row r="13" spans="1:38" ht="15" customHeight="1">
      <c r="A13" s="153">
        <v>17</v>
      </c>
      <c r="B13" s="153"/>
      <c r="C13" s="153"/>
      <c r="D13" s="153"/>
      <c r="E13" s="153"/>
      <c r="F13" s="153"/>
      <c r="G13" s="153"/>
      <c r="H13" s="153"/>
      <c r="I13" s="153"/>
      <c r="J13" s="153"/>
      <c r="K13" s="153"/>
      <c r="L13" s="153"/>
      <c r="M13" s="153"/>
      <c r="N13" s="153"/>
      <c r="O13" s="153"/>
      <c r="P13" s="153"/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4">
        <f t="shared" si="0"/>
        <v>0</v>
      </c>
      <c r="AJ13" s="148">
        <f t="shared" si="1"/>
        <v>0</v>
      </c>
      <c r="AK13" s="149">
        <f t="shared" si="2"/>
        <v>0</v>
      </c>
      <c r="AL13" s="158"/>
    </row>
    <row r="14" spans="1:38" ht="15" customHeight="1">
      <c r="A14" s="153">
        <v>18</v>
      </c>
      <c r="B14" s="153"/>
      <c r="C14" s="153"/>
      <c r="D14" s="153"/>
      <c r="E14" s="153"/>
      <c r="F14" s="153"/>
      <c r="G14" s="153"/>
      <c r="H14" s="153"/>
      <c r="I14" s="153"/>
      <c r="J14" s="153"/>
      <c r="K14" s="153"/>
      <c r="L14" s="153"/>
      <c r="M14" s="153"/>
      <c r="N14" s="153"/>
      <c r="O14" s="153"/>
      <c r="P14" s="153"/>
      <c r="Q14" s="153"/>
      <c r="R14" s="153"/>
      <c r="S14" s="153"/>
      <c r="T14" s="153"/>
      <c r="U14" s="153"/>
      <c r="V14" s="153"/>
      <c r="W14" s="153"/>
      <c r="X14" s="153"/>
      <c r="Y14" s="153"/>
      <c r="Z14" s="153"/>
      <c r="AA14" s="153"/>
      <c r="AB14" s="153"/>
      <c r="AC14" s="153"/>
      <c r="AD14" s="153"/>
      <c r="AE14" s="153"/>
      <c r="AF14" s="153"/>
      <c r="AG14" s="153"/>
      <c r="AH14" s="153"/>
      <c r="AI14" s="154">
        <f t="shared" si="0"/>
        <v>0</v>
      </c>
      <c r="AJ14" s="148">
        <f t="shared" si="1"/>
        <v>0</v>
      </c>
      <c r="AK14" s="149">
        <f t="shared" si="2"/>
        <v>0</v>
      </c>
      <c r="AL14" s="158"/>
    </row>
    <row r="15" spans="1:38" ht="15" customHeight="1">
      <c r="A15" s="153">
        <v>19</v>
      </c>
      <c r="B15" s="153"/>
      <c r="C15" s="153"/>
      <c r="D15" s="153"/>
      <c r="E15" s="153"/>
      <c r="F15" s="153"/>
      <c r="G15" s="153"/>
      <c r="H15" s="153"/>
      <c r="I15" s="153"/>
      <c r="J15" s="153"/>
      <c r="K15" s="153"/>
      <c r="L15" s="153"/>
      <c r="M15" s="153"/>
      <c r="N15" s="153"/>
      <c r="O15" s="153"/>
      <c r="P15" s="153"/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4">
        <f t="shared" si="0"/>
        <v>0</v>
      </c>
      <c r="AJ15" s="148">
        <f t="shared" si="1"/>
        <v>0</v>
      </c>
      <c r="AK15" s="149">
        <f t="shared" si="2"/>
        <v>0</v>
      </c>
      <c r="AL15" s="158"/>
    </row>
    <row r="16" spans="1:38" ht="15" customHeight="1">
      <c r="A16" s="153">
        <v>20</v>
      </c>
      <c r="B16" s="153"/>
      <c r="C16" s="153"/>
      <c r="D16" s="153"/>
      <c r="E16" s="153"/>
      <c r="F16" s="153"/>
      <c r="G16" s="153"/>
      <c r="H16" s="153"/>
      <c r="I16" s="153"/>
      <c r="J16" s="153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4">
        <f t="shared" si="0"/>
        <v>0</v>
      </c>
      <c r="AJ16" s="148">
        <f t="shared" si="1"/>
        <v>0</v>
      </c>
      <c r="AK16" s="149">
        <f t="shared" si="2"/>
        <v>0</v>
      </c>
      <c r="AL16" s="158"/>
    </row>
    <row r="17" spans="1:38" ht="15" customHeight="1">
      <c r="A17" s="153">
        <v>21</v>
      </c>
      <c r="B17" s="153"/>
      <c r="C17" s="153"/>
      <c r="D17" s="153"/>
      <c r="E17" s="153"/>
      <c r="F17" s="153"/>
      <c r="G17" s="153"/>
      <c r="H17" s="153"/>
      <c r="I17" s="153"/>
      <c r="J17" s="153"/>
      <c r="K17" s="153"/>
      <c r="L17" s="153"/>
      <c r="M17" s="153"/>
      <c r="N17" s="153"/>
      <c r="O17" s="153"/>
      <c r="P17" s="153"/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4">
        <f t="shared" si="0"/>
        <v>0</v>
      </c>
      <c r="AJ17" s="148">
        <f t="shared" si="1"/>
        <v>0</v>
      </c>
      <c r="AK17" s="149">
        <f t="shared" si="2"/>
        <v>0</v>
      </c>
      <c r="AL17" s="158"/>
    </row>
    <row r="18" spans="1:38" ht="15" customHeight="1">
      <c r="A18" s="153">
        <v>22</v>
      </c>
      <c r="B18" s="153"/>
      <c r="C18" s="153"/>
      <c r="D18" s="153"/>
      <c r="E18" s="153"/>
      <c r="F18" s="153"/>
      <c r="G18" s="153"/>
      <c r="H18" s="153"/>
      <c r="I18" s="153"/>
      <c r="J18" s="153"/>
      <c r="K18" s="153"/>
      <c r="L18" s="153"/>
      <c r="M18" s="153"/>
      <c r="N18" s="153"/>
      <c r="O18" s="153"/>
      <c r="P18" s="153"/>
      <c r="Q18" s="153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  <c r="AH18" s="153"/>
      <c r="AI18" s="154">
        <f t="shared" si="0"/>
        <v>0</v>
      </c>
      <c r="AJ18" s="148">
        <f t="shared" si="1"/>
        <v>0</v>
      </c>
      <c r="AK18" s="149">
        <f t="shared" si="2"/>
        <v>0</v>
      </c>
      <c r="AL18" s="158"/>
    </row>
    <row r="19" spans="1:38" ht="15" customHeight="1">
      <c r="A19" s="153">
        <v>23</v>
      </c>
      <c r="B19" s="153"/>
      <c r="C19" s="153"/>
      <c r="D19" s="153"/>
      <c r="E19" s="153"/>
      <c r="F19" s="153"/>
      <c r="G19" s="153"/>
      <c r="H19" s="153"/>
      <c r="I19" s="153"/>
      <c r="J19" s="153"/>
      <c r="K19" s="153"/>
      <c r="L19" s="153"/>
      <c r="M19" s="153"/>
      <c r="N19" s="153"/>
      <c r="O19" s="153"/>
      <c r="P19" s="153"/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4">
        <f t="shared" si="0"/>
        <v>0</v>
      </c>
      <c r="AJ19" s="148">
        <f t="shared" si="1"/>
        <v>0</v>
      </c>
      <c r="AK19" s="149">
        <f t="shared" si="2"/>
        <v>0</v>
      </c>
      <c r="AL19" s="158"/>
    </row>
    <row r="20" spans="1:38" ht="15" customHeight="1">
      <c r="A20" s="153">
        <v>24</v>
      </c>
      <c r="B20" s="153"/>
      <c r="C20" s="153"/>
      <c r="D20" s="153"/>
      <c r="E20" s="153"/>
      <c r="F20" s="153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3"/>
      <c r="R20" s="153"/>
      <c r="S20" s="153"/>
      <c r="T20" s="153"/>
      <c r="U20" s="153"/>
      <c r="V20" s="153"/>
      <c r="W20" s="153"/>
      <c r="X20" s="153"/>
      <c r="Y20" s="153"/>
      <c r="Z20" s="153"/>
      <c r="AA20" s="153"/>
      <c r="AB20" s="153"/>
      <c r="AC20" s="153"/>
      <c r="AD20" s="153"/>
      <c r="AE20" s="153"/>
      <c r="AF20" s="153"/>
      <c r="AG20" s="153"/>
      <c r="AH20" s="153"/>
      <c r="AI20" s="154">
        <f t="shared" si="0"/>
        <v>0</v>
      </c>
      <c r="AJ20" s="148">
        <f t="shared" si="1"/>
        <v>0</v>
      </c>
      <c r="AK20" s="149">
        <f t="shared" si="2"/>
        <v>0</v>
      </c>
      <c r="AL20" s="158"/>
    </row>
    <row r="21" spans="1:38" ht="15" customHeight="1">
      <c r="A21" s="153">
        <v>25</v>
      </c>
      <c r="B21" s="153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53"/>
      <c r="N21" s="153"/>
      <c r="O21" s="153"/>
      <c r="P21" s="153"/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4">
        <f t="shared" si="0"/>
        <v>0</v>
      </c>
      <c r="AJ21" s="148">
        <f t="shared" si="1"/>
        <v>0</v>
      </c>
      <c r="AK21" s="149">
        <f t="shared" si="2"/>
        <v>0</v>
      </c>
      <c r="AL21" s="158"/>
    </row>
    <row r="22" spans="1:38" ht="15" customHeight="1">
      <c r="A22" s="153">
        <v>26</v>
      </c>
      <c r="B22" s="153"/>
      <c r="C22" s="153"/>
      <c r="D22" s="153"/>
      <c r="E22" s="153"/>
      <c r="F22" s="153"/>
      <c r="G22" s="153"/>
      <c r="H22" s="153"/>
      <c r="I22" s="153"/>
      <c r="J22" s="153"/>
      <c r="K22" s="153"/>
      <c r="L22" s="153"/>
      <c r="M22" s="153"/>
      <c r="N22" s="153"/>
      <c r="O22" s="153"/>
      <c r="P22" s="153"/>
      <c r="Q22" s="153"/>
      <c r="R22" s="153"/>
      <c r="S22" s="153"/>
      <c r="T22" s="153"/>
      <c r="U22" s="153"/>
      <c r="V22" s="153"/>
      <c r="W22" s="153"/>
      <c r="X22" s="153"/>
      <c r="Y22" s="153"/>
      <c r="Z22" s="153"/>
      <c r="AA22" s="153"/>
      <c r="AB22" s="153"/>
      <c r="AC22" s="153"/>
      <c r="AD22" s="153"/>
      <c r="AE22" s="153"/>
      <c r="AF22" s="153"/>
      <c r="AG22" s="153"/>
      <c r="AH22" s="153"/>
      <c r="AI22" s="154">
        <f t="shared" si="0"/>
        <v>0</v>
      </c>
      <c r="AJ22" s="148">
        <f t="shared" si="1"/>
        <v>0</v>
      </c>
      <c r="AK22" s="149">
        <f t="shared" si="2"/>
        <v>0</v>
      </c>
      <c r="AL22" s="158"/>
    </row>
    <row r="23" spans="1:38" ht="15" customHeight="1">
      <c r="A23" s="153">
        <v>27</v>
      </c>
      <c r="B23" s="153"/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  <c r="N23" s="153"/>
      <c r="O23" s="153"/>
      <c r="P23" s="153"/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4">
        <f t="shared" si="0"/>
        <v>0</v>
      </c>
      <c r="AJ23" s="148">
        <f t="shared" si="1"/>
        <v>0</v>
      </c>
      <c r="AK23" s="149">
        <f t="shared" si="2"/>
        <v>0</v>
      </c>
      <c r="AL23" s="158"/>
    </row>
    <row r="24" spans="1:38" ht="15" customHeight="1">
      <c r="A24" s="153">
        <v>28</v>
      </c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3"/>
      <c r="N24" s="153"/>
      <c r="O24" s="153"/>
      <c r="P24" s="153"/>
      <c r="Q24" s="153"/>
      <c r="R24" s="153"/>
      <c r="S24" s="153"/>
      <c r="T24" s="153"/>
      <c r="U24" s="153"/>
      <c r="V24" s="153"/>
      <c r="W24" s="153"/>
      <c r="X24" s="153"/>
      <c r="Y24" s="153"/>
      <c r="Z24" s="153"/>
      <c r="AA24" s="153"/>
      <c r="AB24" s="153"/>
      <c r="AC24" s="153"/>
      <c r="AD24" s="153"/>
      <c r="AE24" s="153"/>
      <c r="AF24" s="153"/>
      <c r="AG24" s="153"/>
      <c r="AH24" s="153"/>
      <c r="AI24" s="154">
        <f t="shared" si="0"/>
        <v>0</v>
      </c>
      <c r="AJ24" s="148">
        <f t="shared" si="1"/>
        <v>0</v>
      </c>
      <c r="AK24" s="149">
        <f t="shared" si="2"/>
        <v>0</v>
      </c>
      <c r="AL24" s="158"/>
    </row>
    <row r="25" spans="1:38" ht="15" customHeight="1">
      <c r="A25" s="153">
        <v>29</v>
      </c>
      <c r="B25" s="153"/>
      <c r="C25" s="153"/>
      <c r="D25" s="153"/>
      <c r="E25" s="153"/>
      <c r="F25" s="153"/>
      <c r="G25" s="153"/>
      <c r="H25" s="153"/>
      <c r="I25" s="153"/>
      <c r="J25" s="153"/>
      <c r="K25" s="153"/>
      <c r="L25" s="153"/>
      <c r="M25" s="153"/>
      <c r="N25" s="153"/>
      <c r="O25" s="153"/>
      <c r="P25" s="153"/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4">
        <f t="shared" si="0"/>
        <v>0</v>
      </c>
      <c r="AJ25" s="148">
        <f t="shared" si="1"/>
        <v>0</v>
      </c>
      <c r="AK25" s="149">
        <f t="shared" si="2"/>
        <v>0</v>
      </c>
      <c r="AL25" s="158"/>
    </row>
    <row r="26" spans="1:38" ht="15" customHeight="1">
      <c r="A26" s="153">
        <v>30</v>
      </c>
      <c r="B26" s="153"/>
      <c r="C26" s="153"/>
      <c r="D26" s="153"/>
      <c r="E26" s="153"/>
      <c r="F26" s="153"/>
      <c r="G26" s="153"/>
      <c r="H26" s="153"/>
      <c r="I26" s="153"/>
      <c r="J26" s="153"/>
      <c r="K26" s="153"/>
      <c r="L26" s="153"/>
      <c r="M26" s="153"/>
      <c r="N26" s="153"/>
      <c r="O26" s="153"/>
      <c r="P26" s="153"/>
      <c r="Q26" s="153"/>
      <c r="R26" s="153"/>
      <c r="S26" s="153"/>
      <c r="T26" s="153"/>
      <c r="U26" s="153"/>
      <c r="V26" s="153"/>
      <c r="W26" s="153"/>
      <c r="X26" s="153"/>
      <c r="Y26" s="153"/>
      <c r="Z26" s="153"/>
      <c r="AA26" s="153"/>
      <c r="AB26" s="153"/>
      <c r="AC26" s="153"/>
      <c r="AD26" s="153"/>
      <c r="AE26" s="153"/>
      <c r="AF26" s="153"/>
      <c r="AG26" s="153"/>
      <c r="AH26" s="153"/>
      <c r="AI26" s="154">
        <f t="shared" si="0"/>
        <v>0</v>
      </c>
      <c r="AJ26" s="148">
        <f t="shared" si="1"/>
        <v>0</v>
      </c>
      <c r="AK26" s="149">
        <f t="shared" si="2"/>
        <v>0</v>
      </c>
      <c r="AL26" s="158"/>
    </row>
    <row r="27" spans="1:38" ht="15" customHeight="1">
      <c r="A27" s="153">
        <v>31</v>
      </c>
      <c r="B27" s="153"/>
      <c r="C27" s="153"/>
      <c r="D27" s="153"/>
      <c r="E27" s="153"/>
      <c r="F27" s="153"/>
      <c r="G27" s="153"/>
      <c r="H27" s="153"/>
      <c r="I27" s="153"/>
      <c r="J27" s="153"/>
      <c r="K27" s="153"/>
      <c r="L27" s="153"/>
      <c r="M27" s="153"/>
      <c r="N27" s="153"/>
      <c r="O27" s="153"/>
      <c r="P27" s="153"/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4">
        <f t="shared" si="0"/>
        <v>0</v>
      </c>
      <c r="AJ27" s="148">
        <f t="shared" si="1"/>
        <v>0</v>
      </c>
      <c r="AK27" s="149">
        <f t="shared" si="2"/>
        <v>0</v>
      </c>
      <c r="AL27" s="158"/>
    </row>
    <row r="28" spans="1:38" ht="15" customHeight="1">
      <c r="A28" s="153">
        <v>32</v>
      </c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  <c r="M28" s="153"/>
      <c r="N28" s="153"/>
      <c r="O28" s="153"/>
      <c r="P28" s="153"/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4">
        <f t="shared" si="0"/>
        <v>0</v>
      </c>
      <c r="AJ28" s="148">
        <f t="shared" si="1"/>
        <v>0</v>
      </c>
      <c r="AK28" s="149">
        <f t="shared" si="2"/>
        <v>0</v>
      </c>
      <c r="AL28" s="158"/>
    </row>
    <row r="29" spans="1:38" ht="15" customHeight="1">
      <c r="A29" s="153">
        <v>33</v>
      </c>
      <c r="B29" s="153"/>
      <c r="C29" s="153"/>
      <c r="D29" s="153"/>
      <c r="E29" s="153"/>
      <c r="F29" s="153"/>
      <c r="G29" s="153"/>
      <c r="H29" s="153"/>
      <c r="I29" s="153"/>
      <c r="J29" s="153"/>
      <c r="K29" s="153"/>
      <c r="L29" s="153"/>
      <c r="M29" s="153"/>
      <c r="N29" s="153"/>
      <c r="O29" s="153"/>
      <c r="P29" s="153"/>
      <c r="Q29" s="153"/>
      <c r="R29" s="153"/>
      <c r="S29" s="153"/>
      <c r="T29" s="153"/>
      <c r="U29" s="153"/>
      <c r="V29" s="153"/>
      <c r="W29" s="153"/>
      <c r="X29" s="153"/>
      <c r="Y29" s="153"/>
      <c r="Z29" s="153"/>
      <c r="AA29" s="153"/>
      <c r="AB29" s="153"/>
      <c r="AC29" s="153"/>
      <c r="AD29" s="153"/>
      <c r="AE29" s="153"/>
      <c r="AF29" s="153"/>
      <c r="AG29" s="153"/>
      <c r="AH29" s="153"/>
      <c r="AI29" s="154">
        <f t="shared" si="0"/>
        <v>0</v>
      </c>
      <c r="AJ29" s="148">
        <f t="shared" si="1"/>
        <v>0</v>
      </c>
      <c r="AK29" s="149">
        <f t="shared" si="2"/>
        <v>0</v>
      </c>
      <c r="AL29" s="158"/>
    </row>
    <row r="30" spans="1:38" ht="15" customHeight="1">
      <c r="A30" s="153">
        <v>34</v>
      </c>
      <c r="B30" s="153"/>
      <c r="C30" s="153"/>
      <c r="D30" s="153"/>
      <c r="E30" s="153"/>
      <c r="F30" s="153"/>
      <c r="G30" s="153"/>
      <c r="H30" s="153"/>
      <c r="I30" s="153"/>
      <c r="J30" s="153"/>
      <c r="K30" s="153"/>
      <c r="L30" s="153"/>
      <c r="M30" s="153"/>
      <c r="N30" s="153"/>
      <c r="O30" s="153"/>
      <c r="P30" s="153"/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4">
        <f t="shared" si="0"/>
        <v>0</v>
      </c>
      <c r="AJ30" s="148">
        <f t="shared" si="1"/>
        <v>0</v>
      </c>
      <c r="AK30" s="149">
        <f t="shared" si="2"/>
        <v>0</v>
      </c>
      <c r="AL30" s="158"/>
    </row>
    <row r="31" spans="1:38" ht="15" customHeight="1">
      <c r="A31" s="153">
        <v>35</v>
      </c>
      <c r="B31" s="153"/>
      <c r="C31" s="153"/>
      <c r="D31" s="153"/>
      <c r="E31" s="153"/>
      <c r="F31" s="153"/>
      <c r="G31" s="153"/>
      <c r="H31" s="153"/>
      <c r="I31" s="153"/>
      <c r="J31" s="153"/>
      <c r="K31" s="153"/>
      <c r="L31" s="153"/>
      <c r="M31" s="153"/>
      <c r="N31" s="153"/>
      <c r="O31" s="153"/>
      <c r="P31" s="153"/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4">
        <f t="shared" si="0"/>
        <v>0</v>
      </c>
      <c r="AJ31" s="148">
        <f t="shared" si="1"/>
        <v>0</v>
      </c>
      <c r="AK31" s="149">
        <f t="shared" si="2"/>
        <v>0</v>
      </c>
      <c r="AL31" s="158"/>
    </row>
    <row r="32" spans="1:38" ht="15" customHeight="1">
      <c r="A32" s="153">
        <v>36</v>
      </c>
      <c r="B32" s="153"/>
      <c r="C32" s="153"/>
      <c r="D32" s="153"/>
      <c r="E32" s="153"/>
      <c r="F32" s="153"/>
      <c r="G32" s="153"/>
      <c r="H32" s="153"/>
      <c r="I32" s="153"/>
      <c r="J32" s="153"/>
      <c r="K32" s="153"/>
      <c r="L32" s="153"/>
      <c r="M32" s="153"/>
      <c r="N32" s="153"/>
      <c r="O32" s="153"/>
      <c r="P32" s="153"/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4">
        <f t="shared" si="0"/>
        <v>0</v>
      </c>
      <c r="AJ32" s="148">
        <f t="shared" si="1"/>
        <v>0</v>
      </c>
      <c r="AK32" s="149">
        <f t="shared" si="2"/>
        <v>0</v>
      </c>
      <c r="AL32" s="158"/>
    </row>
    <row r="33" spans="1:38" ht="15" customHeight="1">
      <c r="A33" s="153">
        <v>37</v>
      </c>
      <c r="B33" s="153"/>
      <c r="C33" s="153"/>
      <c r="D33" s="153"/>
      <c r="E33" s="153"/>
      <c r="F33" s="153"/>
      <c r="G33" s="153"/>
      <c r="H33" s="153"/>
      <c r="I33" s="153"/>
      <c r="J33" s="153"/>
      <c r="K33" s="153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4">
        <f t="shared" si="0"/>
        <v>0</v>
      </c>
      <c r="AJ33" s="148">
        <f t="shared" si="1"/>
        <v>0</v>
      </c>
      <c r="AK33" s="149">
        <f t="shared" si="2"/>
        <v>0</v>
      </c>
      <c r="AL33" s="158"/>
    </row>
    <row r="34" spans="1:38" ht="15" customHeight="1">
      <c r="A34" s="153">
        <v>38</v>
      </c>
      <c r="B34" s="153"/>
      <c r="C34" s="153"/>
      <c r="D34" s="153"/>
      <c r="E34" s="153"/>
      <c r="F34" s="153"/>
      <c r="G34" s="153"/>
      <c r="H34" s="153"/>
      <c r="I34" s="153"/>
      <c r="J34" s="153"/>
      <c r="K34" s="153"/>
      <c r="L34" s="153"/>
      <c r="M34" s="153"/>
      <c r="N34" s="153"/>
      <c r="O34" s="153"/>
      <c r="P34" s="153"/>
      <c r="Q34" s="153"/>
      <c r="R34" s="153"/>
      <c r="S34" s="153"/>
      <c r="T34" s="153"/>
      <c r="U34" s="153"/>
      <c r="V34" s="153"/>
      <c r="W34" s="153"/>
      <c r="X34" s="153"/>
      <c r="Y34" s="153"/>
      <c r="Z34" s="153"/>
      <c r="AA34" s="153"/>
      <c r="AB34" s="153"/>
      <c r="AC34" s="153"/>
      <c r="AD34" s="153"/>
      <c r="AE34" s="153"/>
      <c r="AF34" s="153"/>
      <c r="AG34" s="153"/>
      <c r="AH34" s="153"/>
      <c r="AI34" s="154">
        <f t="shared" si="0"/>
        <v>0</v>
      </c>
      <c r="AJ34" s="148">
        <f t="shared" si="1"/>
        <v>0</v>
      </c>
      <c r="AK34" s="149">
        <f t="shared" si="2"/>
        <v>0</v>
      </c>
      <c r="AL34" s="158"/>
    </row>
    <row r="35" spans="1:38" ht="15" customHeight="1">
      <c r="A35" s="153">
        <v>39</v>
      </c>
      <c r="B35" s="153"/>
      <c r="C35" s="153"/>
      <c r="D35" s="153"/>
      <c r="E35" s="153"/>
      <c r="F35" s="153"/>
      <c r="G35" s="153"/>
      <c r="H35" s="153"/>
      <c r="I35" s="153"/>
      <c r="J35" s="153"/>
      <c r="K35" s="153"/>
      <c r="L35" s="153"/>
      <c r="M35" s="153"/>
      <c r="N35" s="153"/>
      <c r="O35" s="153"/>
      <c r="P35" s="153"/>
      <c r="Q35" s="153"/>
      <c r="R35" s="153"/>
      <c r="S35" s="153"/>
      <c r="T35" s="153"/>
      <c r="U35" s="153"/>
      <c r="V35" s="153"/>
      <c r="W35" s="153"/>
      <c r="X35" s="153"/>
      <c r="Y35" s="153"/>
      <c r="Z35" s="153"/>
      <c r="AA35" s="153"/>
      <c r="AB35" s="153"/>
      <c r="AC35" s="153"/>
      <c r="AD35" s="153"/>
      <c r="AE35" s="153"/>
      <c r="AF35" s="153"/>
      <c r="AG35" s="153"/>
      <c r="AH35" s="153"/>
      <c r="AI35" s="154">
        <f t="shared" si="0"/>
        <v>0</v>
      </c>
      <c r="AJ35" s="148">
        <f t="shared" si="1"/>
        <v>0</v>
      </c>
      <c r="AK35" s="149">
        <f t="shared" si="2"/>
        <v>0</v>
      </c>
      <c r="AL35" s="158"/>
    </row>
    <row r="36" spans="1:38" ht="15.75" customHeight="1"/>
    <row r="37" spans="1:38" ht="15.75" customHeight="1"/>
    <row r="38" spans="1:38" ht="15.75" customHeight="1"/>
    <row r="39" spans="1:38" ht="15.75" customHeight="1"/>
    <row r="40" spans="1:38" ht="15.75" customHeight="1"/>
    <row r="41" spans="1:38" ht="15.75" customHeight="1"/>
    <row r="42" spans="1:38" ht="15.75" customHeight="1"/>
    <row r="43" spans="1:38" ht="15.75" customHeight="1"/>
    <row r="44" spans="1:38" ht="15.75" customHeight="1"/>
    <row r="45" spans="1:38" ht="15.75" customHeight="1"/>
    <row r="46" spans="1:38" ht="15.75" customHeight="1"/>
    <row r="47" spans="1:38" ht="15.75" customHeight="1"/>
    <row r="48" spans="1:3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AL1"/>
    <mergeCell ref="A2:AL2"/>
    <mergeCell ref="A3:C3"/>
  </mergeCells>
  <conditionalFormatting sqref="D4:AH35">
    <cfRule type="containsText" dxfId="2" priority="1" operator="containsText" text="L">
      <formula>NOT(ISERROR(SEARCH(("L"),(D4))))</formula>
    </cfRule>
  </conditionalFormatting>
  <conditionalFormatting sqref="D4:AH35">
    <cfRule type="containsText" dxfId="1" priority="2" operator="containsText" text="A">
      <formula>NOT(ISERROR(SEARCH(("A"),(D4))))</formula>
    </cfRule>
  </conditionalFormatting>
  <conditionalFormatting sqref="D4:AH35">
    <cfRule type="containsText" dxfId="0" priority="3" operator="containsText" text="p">
      <formula>NOT(ISERROR(SEARCH(("p"),(D4))))</formula>
    </cfRule>
  </conditionalFormatting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K1000"/>
  <sheetViews>
    <sheetView tabSelected="1" workbookViewId="0"/>
  </sheetViews>
  <sheetFormatPr defaultColWidth="14.42578125" defaultRowHeight="15" customHeight="1"/>
  <cols>
    <col min="1" max="2" width="14.42578125" customWidth="1"/>
    <col min="3" max="3" width="21.28515625" customWidth="1"/>
    <col min="4" max="6" width="14.42578125" customWidth="1"/>
  </cols>
  <sheetData>
    <row r="1" spans="1:37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  <c r="AA1" s="159"/>
      <c r="AB1" s="159"/>
      <c r="AC1" s="159"/>
      <c r="AD1" s="159"/>
      <c r="AE1" s="159"/>
      <c r="AF1" s="159"/>
      <c r="AG1" s="159"/>
      <c r="AH1" s="159"/>
      <c r="AI1" s="159"/>
      <c r="AJ1" s="159"/>
      <c r="AK1" s="159"/>
    </row>
    <row r="2" spans="1:37" ht="15" customHeight="1">
      <c r="A2" s="189" t="s">
        <v>1005</v>
      </c>
      <c r="B2" s="182"/>
      <c r="C2" s="183"/>
      <c r="D2" s="160">
        <v>1</v>
      </c>
      <c r="E2" s="161">
        <v>2</v>
      </c>
      <c r="F2" s="160">
        <v>3</v>
      </c>
      <c r="G2" s="161">
        <v>4</v>
      </c>
      <c r="H2" s="162">
        <v>5</v>
      </c>
      <c r="I2" s="160">
        <v>6</v>
      </c>
      <c r="J2" s="160">
        <v>7</v>
      </c>
      <c r="K2" s="160">
        <v>8</v>
      </c>
      <c r="L2" s="160">
        <v>9</v>
      </c>
      <c r="M2" s="160">
        <v>10</v>
      </c>
      <c r="N2" s="160">
        <v>11</v>
      </c>
      <c r="O2" s="162">
        <v>12</v>
      </c>
      <c r="P2" s="160">
        <v>13</v>
      </c>
      <c r="Q2" s="160">
        <v>14</v>
      </c>
      <c r="R2" s="160">
        <v>15</v>
      </c>
      <c r="S2" s="160">
        <v>16</v>
      </c>
      <c r="T2" s="160">
        <v>17</v>
      </c>
      <c r="U2" s="160">
        <v>18</v>
      </c>
      <c r="V2" s="162">
        <v>19</v>
      </c>
      <c r="W2" s="160">
        <v>20</v>
      </c>
      <c r="X2" s="160">
        <v>21</v>
      </c>
      <c r="Y2" s="160">
        <v>22</v>
      </c>
      <c r="Z2" s="160">
        <v>23</v>
      </c>
      <c r="AA2" s="163">
        <v>24</v>
      </c>
      <c r="AB2" s="163">
        <v>25</v>
      </c>
      <c r="AC2" s="164">
        <v>26</v>
      </c>
      <c r="AD2" s="163">
        <v>27</v>
      </c>
      <c r="AE2" s="163">
        <v>28</v>
      </c>
      <c r="AF2" s="163">
        <v>29</v>
      </c>
      <c r="AG2" s="163">
        <v>30</v>
      </c>
      <c r="AH2" s="165" t="s">
        <v>1039</v>
      </c>
      <c r="AI2" s="166" t="s">
        <v>699</v>
      </c>
      <c r="AJ2" s="167" t="s">
        <v>1040</v>
      </c>
      <c r="AK2" s="168" t="s">
        <v>704</v>
      </c>
    </row>
    <row r="3" spans="1:37" ht="15" customHeight="1">
      <c r="A3" s="169" t="s">
        <v>1041</v>
      </c>
      <c r="B3" s="169" t="s">
        <v>3</v>
      </c>
      <c r="C3" s="169" t="s">
        <v>4</v>
      </c>
      <c r="D3" s="170"/>
      <c r="E3" s="171"/>
      <c r="F3" s="170"/>
      <c r="G3" s="170"/>
      <c r="H3" s="170"/>
      <c r="I3" s="170"/>
      <c r="J3" s="170"/>
      <c r="K3" s="170"/>
      <c r="L3" s="170"/>
      <c r="M3" s="170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2">
        <v>0</v>
      </c>
      <c r="AI3" s="166">
        <v>0</v>
      </c>
      <c r="AJ3" s="167">
        <v>0</v>
      </c>
      <c r="AK3" s="173"/>
    </row>
    <row r="4" spans="1:37" ht="15" customHeight="1">
      <c r="A4" s="170">
        <v>1</v>
      </c>
      <c r="B4" s="170" t="s">
        <v>417</v>
      </c>
      <c r="C4" s="170" t="s">
        <v>1045</v>
      </c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  <c r="AA4" s="174"/>
      <c r="AB4" s="174"/>
      <c r="AC4" s="174"/>
      <c r="AD4" s="174"/>
      <c r="AE4" s="174"/>
      <c r="AF4" s="174"/>
      <c r="AG4" s="174"/>
      <c r="AH4" s="165"/>
      <c r="AI4" s="166"/>
      <c r="AJ4" s="167"/>
      <c r="AK4" s="158"/>
    </row>
    <row r="5" spans="1:37" ht="15" customHeight="1">
      <c r="A5" s="170">
        <v>2</v>
      </c>
      <c r="B5" s="170" t="s">
        <v>441</v>
      </c>
      <c r="C5" s="170" t="s">
        <v>445</v>
      </c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  <c r="AA5" s="174"/>
      <c r="AB5" s="174"/>
      <c r="AC5" s="174"/>
      <c r="AD5" s="174"/>
      <c r="AE5" s="174"/>
      <c r="AF5" s="174"/>
      <c r="AG5" s="174"/>
      <c r="AH5" s="165"/>
      <c r="AI5" s="166"/>
      <c r="AJ5" s="167"/>
      <c r="AK5" s="15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C2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AL1000"/>
  <sheetViews>
    <sheetView workbookViewId="0"/>
  </sheetViews>
  <sheetFormatPr defaultColWidth="14.42578125" defaultRowHeight="15" customHeight="1"/>
  <cols>
    <col min="1" max="1" width="8.7109375" customWidth="1"/>
    <col min="2" max="2" width="10.28515625" customWidth="1"/>
    <col min="3" max="3" width="17.5703125" customWidth="1"/>
    <col min="4" max="4" width="8.7109375" customWidth="1"/>
    <col min="5" max="5" width="10.28515625" customWidth="1"/>
    <col min="6" max="6" width="8.7109375" customWidth="1"/>
    <col min="7" max="7" width="10.28515625" customWidth="1"/>
    <col min="8" max="8" width="9.7109375" customWidth="1"/>
    <col min="9" max="9" width="11.85546875" customWidth="1"/>
    <col min="10" max="10" width="9.5703125" customWidth="1"/>
    <col min="11" max="11" width="27.85546875" customWidth="1"/>
    <col min="12" max="14" width="8.7109375" customWidth="1"/>
    <col min="15" max="15" width="11.5703125" customWidth="1"/>
    <col min="16" max="16" width="13.140625" customWidth="1"/>
    <col min="17" max="17" width="11.28515625" customWidth="1"/>
    <col min="18" max="18" width="13.140625" customWidth="1"/>
    <col min="19" max="19" width="12.7109375" customWidth="1"/>
    <col min="20" max="20" width="4.42578125" customWidth="1"/>
    <col min="21" max="21" width="6" customWidth="1"/>
    <col min="22" max="22" width="11" customWidth="1"/>
    <col min="23" max="23" width="20.7109375" customWidth="1"/>
    <col min="24" max="24" width="3" customWidth="1"/>
    <col min="25" max="26" width="2" customWidth="1"/>
    <col min="27" max="27" width="6" customWidth="1"/>
    <col min="28" max="31" width="2" customWidth="1"/>
    <col min="32" max="32" width="7.28515625" customWidth="1"/>
    <col min="33" max="35" width="2" customWidth="1"/>
    <col min="36" max="36" width="5" customWidth="1"/>
    <col min="37" max="37" width="8.7109375" customWidth="1"/>
    <col min="38" max="38" width="2" customWidth="1"/>
  </cols>
  <sheetData>
    <row r="1" spans="2:18" ht="14.25" customHeight="1"/>
    <row r="2" spans="2:18" ht="14.25" customHeight="1"/>
    <row r="3" spans="2:18" ht="14.25" customHeight="1"/>
    <row r="4" spans="2:18" ht="14.25" customHeight="1"/>
    <row r="5" spans="2:18" ht="14.25" customHeight="1">
      <c r="C5" s="13" t="s">
        <v>1046</v>
      </c>
    </row>
    <row r="6" spans="2:18" ht="14.25" customHeight="1"/>
    <row r="7" spans="2:18" ht="14.25" customHeight="1">
      <c r="C7" s="13" t="s">
        <v>1015</v>
      </c>
      <c r="D7" s="13" t="s">
        <v>1016</v>
      </c>
      <c r="E7" s="13" t="s">
        <v>1017</v>
      </c>
      <c r="F7" s="13" t="s">
        <v>1047</v>
      </c>
      <c r="G7" s="13" t="s">
        <v>41</v>
      </c>
      <c r="H7" s="13" t="s">
        <v>1019</v>
      </c>
      <c r="I7" s="13" t="s">
        <v>1020</v>
      </c>
      <c r="J7" s="13" t="s">
        <v>1021</v>
      </c>
      <c r="K7" s="13" t="s">
        <v>1048</v>
      </c>
      <c r="L7" s="13" t="s">
        <v>1049</v>
      </c>
      <c r="M7" s="13" t="s">
        <v>1050</v>
      </c>
      <c r="N7" s="13" t="s">
        <v>1051</v>
      </c>
      <c r="O7" s="13" t="s">
        <v>839</v>
      </c>
    </row>
    <row r="8" spans="2:18" ht="14.25" customHeight="1">
      <c r="B8" s="13" t="s">
        <v>686</v>
      </c>
      <c r="C8" s="2">
        <v>108333</v>
      </c>
      <c r="D8" s="2">
        <v>108333</v>
      </c>
      <c r="E8" s="2">
        <v>108333</v>
      </c>
      <c r="F8" s="2">
        <v>108333</v>
      </c>
      <c r="G8" s="2">
        <f>108333</f>
        <v>108333</v>
      </c>
      <c r="H8" s="2">
        <f>F8</f>
        <v>108333</v>
      </c>
      <c r="I8" s="2">
        <v>108333</v>
      </c>
      <c r="J8" s="2">
        <f t="shared" ref="J8:N8" si="0">H8</f>
        <v>108333</v>
      </c>
      <c r="K8" s="2">
        <f t="shared" si="0"/>
        <v>108333</v>
      </c>
      <c r="L8" s="2">
        <f t="shared" si="0"/>
        <v>108333</v>
      </c>
      <c r="M8" s="2">
        <f t="shared" si="0"/>
        <v>108333</v>
      </c>
      <c r="N8" s="2">
        <f t="shared" si="0"/>
        <v>108333</v>
      </c>
      <c r="O8" s="2">
        <f t="shared" ref="O8:O10" si="1">SUM(C8:N8)</f>
        <v>1299996</v>
      </c>
      <c r="P8" s="2">
        <v>26000</v>
      </c>
      <c r="Q8" s="2"/>
      <c r="R8" s="2"/>
    </row>
    <row r="9" spans="2:18" ht="14.25" customHeight="1">
      <c r="B9" s="13" t="s">
        <v>1032</v>
      </c>
      <c r="C9" s="2"/>
      <c r="D9" s="2"/>
      <c r="E9" s="2"/>
      <c r="F9" s="2"/>
      <c r="G9" s="2">
        <v>17680</v>
      </c>
      <c r="H9" s="2"/>
      <c r="I9" s="2"/>
      <c r="J9" s="2"/>
      <c r="K9" s="2"/>
      <c r="L9" s="2"/>
      <c r="M9" s="2"/>
      <c r="N9" s="2"/>
      <c r="O9" s="2">
        <f t="shared" si="1"/>
        <v>17680</v>
      </c>
      <c r="P9" s="2">
        <v>44380</v>
      </c>
      <c r="Q9" s="2"/>
      <c r="R9" s="2"/>
    </row>
    <row r="10" spans="2:18" ht="14.25" customHeight="1">
      <c r="B10" s="13" t="s">
        <v>35</v>
      </c>
      <c r="C10" s="2">
        <f t="shared" ref="C10:F10" si="2">26000/12</f>
        <v>2166.6666666666665</v>
      </c>
      <c r="D10" s="2">
        <f t="shared" si="2"/>
        <v>2166.6666666666665</v>
      </c>
      <c r="E10" s="2">
        <f t="shared" si="2"/>
        <v>2166.6666666666665</v>
      </c>
      <c r="F10" s="2">
        <f t="shared" si="2"/>
        <v>2166.6666666666665</v>
      </c>
      <c r="G10" s="2">
        <f>(44380-SUM(C10:F10))/8</f>
        <v>4464.166666666667</v>
      </c>
      <c r="H10" s="2">
        <v>4464</v>
      </c>
      <c r="I10" s="2">
        <v>4464</v>
      </c>
      <c r="J10" s="2">
        <v>4464</v>
      </c>
      <c r="K10" s="2">
        <v>4464</v>
      </c>
      <c r="L10" s="2">
        <v>4464</v>
      </c>
      <c r="M10" s="2">
        <v>4464</v>
      </c>
      <c r="N10" s="2">
        <v>4464</v>
      </c>
      <c r="O10" s="2">
        <f t="shared" si="1"/>
        <v>44378.833333333328</v>
      </c>
      <c r="P10" s="2"/>
      <c r="Q10" s="2"/>
      <c r="R10" s="2"/>
    </row>
    <row r="11" spans="2:18" ht="14.25" customHeight="1">
      <c r="C11" s="2"/>
      <c r="D11" s="2"/>
      <c r="E11" s="2"/>
      <c r="F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2:18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2:18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</row>
    <row r="14" spans="2:18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</row>
    <row r="15" spans="2:18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</row>
    <row r="16" spans="2:18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</row>
    <row r="17" spans="2:38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2:3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AA18" s="13" t="s">
        <v>1052</v>
      </c>
    </row>
    <row r="19" spans="2:38" ht="14.25" customHeight="1">
      <c r="B19" s="175">
        <v>45930</v>
      </c>
      <c r="C19" s="13" t="s">
        <v>623</v>
      </c>
      <c r="D19" s="13" t="s">
        <v>624</v>
      </c>
      <c r="E19" s="175">
        <v>45925</v>
      </c>
      <c r="F19" s="176" t="s">
        <v>86</v>
      </c>
      <c r="G19" s="175">
        <v>36123</v>
      </c>
      <c r="I19" s="13" t="s">
        <v>626</v>
      </c>
      <c r="K19" s="13" t="s">
        <v>508</v>
      </c>
      <c r="L19" s="176" t="s">
        <v>609</v>
      </c>
      <c r="M19" s="176" t="s">
        <v>609</v>
      </c>
      <c r="O19" s="13" t="s">
        <v>627</v>
      </c>
      <c r="P19" s="36" t="s">
        <v>628</v>
      </c>
      <c r="Q19" s="13" t="s">
        <v>629</v>
      </c>
      <c r="R19" s="16">
        <v>110043317026</v>
      </c>
      <c r="S19" s="13" t="s">
        <v>630</v>
      </c>
      <c r="T19" s="13" t="s">
        <v>624</v>
      </c>
      <c r="U19" s="13" t="s">
        <v>174</v>
      </c>
      <c r="V19" s="36" t="s">
        <v>631</v>
      </c>
      <c r="W19" s="36" t="s">
        <v>632</v>
      </c>
      <c r="X19" s="7">
        <v>30</v>
      </c>
      <c r="Y19" s="13">
        <v>0</v>
      </c>
      <c r="Z19" s="13">
        <v>5</v>
      </c>
      <c r="AA19" s="13">
        <v>21100</v>
      </c>
      <c r="AB19" s="13">
        <v>0</v>
      </c>
      <c r="AC19" s="13">
        <v>0</v>
      </c>
      <c r="AD19" s="13">
        <v>0</v>
      </c>
      <c r="AE19" s="13">
        <v>0</v>
      </c>
      <c r="AF19" s="8">
        <f>SUM(AA19:AE19)</f>
        <v>21100</v>
      </c>
      <c r="AG19" s="13">
        <v>0</v>
      </c>
      <c r="AH19" s="13">
        <v>0</v>
      </c>
      <c r="AI19" s="13">
        <v>0</v>
      </c>
      <c r="AJ19" s="13">
        <v>3600</v>
      </c>
      <c r="AK19" s="177"/>
      <c r="AL19" s="13">
        <v>0</v>
      </c>
    </row>
    <row r="20" spans="2:38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2:38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</row>
    <row r="22" spans="2:38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2:38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</row>
    <row r="24" spans="2:38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</row>
    <row r="25" spans="2:38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2:38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</row>
    <row r="27" spans="2:38" ht="14.25" customHeight="1"/>
    <row r="28" spans="2:38" ht="14.25" customHeight="1"/>
    <row r="29" spans="2:38" ht="14.25" customHeight="1"/>
    <row r="30" spans="2:38" ht="14.25" customHeight="1"/>
    <row r="31" spans="2:38" ht="14.25" customHeight="1"/>
    <row r="32" spans="2:38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HDFC</vt:lpstr>
      <vt:lpstr>Draft-Paysheet May 2026</vt:lpstr>
      <vt:lpstr>LOP</vt:lpstr>
      <vt:lpstr>Non HDFC 2</vt:lpstr>
      <vt:lpstr>New HDFC</vt:lpstr>
      <vt:lpstr>Non HDFC for Bank</vt:lpstr>
      <vt:lpstr>Leavers</vt:lpstr>
      <vt:lpstr>Mumbai</vt:lpstr>
      <vt:lpstr>Chennai</vt:lpstr>
      <vt:lpstr>TDS</vt:lpstr>
      <vt:lpstr>LKO</vt:lpstr>
      <vt:lpstr>Hyd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2026-06-11T14:12:06Z</dcterms:modified>
</cp:coreProperties>
</file>